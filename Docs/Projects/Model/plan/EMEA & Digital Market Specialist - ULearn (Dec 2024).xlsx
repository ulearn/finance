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fit &amp; Loss" sheetId="1" r:id="rId1"/>
    <sheet name="Balance Sheet" sheetId="2" r:id="rId3"/>
    <sheet name="Cash Flow Statement" sheetId="3" r:id="rId4"/>
  </sheets>
  <calcPr fullCalcOnLoad="1"/>
</workbook>
</file>

<file path=xl/sharedStrings.xml><?xml version="1.0" encoding="utf-8"?>
<sst xmlns="http://schemas.openxmlformats.org/spreadsheetml/2006/main" count="196" uniqueCount="196">
  <si>
    <t>Profit &amp; Loss</t>
  </si>
  <si>
    <t/>
  </si>
  <si>
    <t>EMEA &amp; Digital Market Specialist - ULearn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</si>
  <si>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</si>
  <si>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</si>
  <si>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</si>
  <si>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</si>
  <si>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</si>
  <si>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</si>
  <si>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</si>
  <si>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</si>
  <si>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</si>
  <si>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</si>
  <si>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</si>
  <si>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</si>
  <si>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</si>
  <si>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</si>
  <si>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</si>
  <si>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</si>
  <si>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</si>
  <si>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</si>
  <si>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</si>
  <si>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</si>
  <si>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</si>
  <si>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</si>
  <si>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</si>
  <si>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</si>
  <si>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</si>
  <si>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</si>
  <si>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</si>
  <si>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</si>
  <si>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</si>
  <si>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</si>
  <si>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</si>
  <si>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</si>
  <si>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</si>
  <si>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</si>
  <si>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</si>
  <si>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</si>
  <si>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Revenue</t>
  </si>
  <si>
    <t>General Course Sales</t>
  </si>
  <si>
    <t>Accomm &amp; Rental Revenue</t>
  </si>
  <si>
    <t>Other Revenue</t>
  </si>
  <si>
    <t>Total Revenue</t>
  </si>
  <si>
    <t>Cost of Sales</t>
  </si>
  <si>
    <t>Accomm - Host Pay</t>
  </si>
  <si>
    <t>Accomm - Apartments Running Expns</t>
  </si>
  <si>
    <t>Accomm - Apartment Fixtures &amp; Fittings</t>
  </si>
  <si>
    <t>Accomm - Apartment Repairs &amp; Maintenance</t>
  </si>
  <si>
    <t>Accomm - Hostel / Res</t>
  </si>
  <si>
    <t>Transport</t>
  </si>
  <si>
    <t>Student Insurance</t>
  </si>
  <si>
    <t>Partner Payments</t>
  </si>
  <si>
    <t>Exam Fees</t>
  </si>
  <si>
    <t>ULearn Social</t>
  </si>
  <si>
    <t>Social Supplies</t>
  </si>
  <si>
    <t>Partner Group Social</t>
  </si>
  <si>
    <t>Total Cost of Sales</t>
  </si>
  <si>
    <t>Gross Profit</t>
  </si>
  <si>
    <t>Expenses</t>
  </si>
  <si>
    <t>Accomm - Apartment Cap Ex</t>
  </si>
  <si>
    <t>Equipment Hire</t>
  </si>
  <si>
    <t>Rent</t>
  </si>
  <si>
    <t>Rates</t>
  </si>
  <si>
    <t>Office Running Expenses</t>
  </si>
  <si>
    <t>Office machine rent</t>
  </si>
  <si>
    <t>Premises Repairs and Maintenance</t>
  </si>
  <si>
    <t>Premises Fixtures &amp; Fittings</t>
  </si>
  <si>
    <t>Telephone &amp; Internet</t>
  </si>
  <si>
    <t>Telephone &amp; Internet Apartments</t>
  </si>
  <si>
    <t>Light, Power, Heating</t>
  </si>
  <si>
    <t>Light, Power, Heat - Apartments</t>
  </si>
  <si>
    <t>Software / Hosting</t>
  </si>
  <si>
    <t>Wages and Salaries</t>
  </si>
  <si>
    <t>Director salary</t>
  </si>
  <si>
    <t>Pension costs</t>
  </si>
  <si>
    <t>Google Ad (or other advertising)</t>
  </si>
  <si>
    <t>SEO &amp; Online Software Tools</t>
  </si>
  <si>
    <t>Marketing Trips</t>
  </si>
  <si>
    <t>Travel - National</t>
  </si>
  <si>
    <t>Travel - International</t>
  </si>
  <si>
    <t>Marketing (Other)</t>
  </si>
  <si>
    <t>Staff Meals &amp; Drinks</t>
  </si>
  <si>
    <t>Staff Entertainment</t>
  </si>
  <si>
    <t>Other Staff Costs</t>
  </si>
  <si>
    <t>Printing &amp; Stationery</t>
  </si>
  <si>
    <t>IT Equipment</t>
  </si>
  <si>
    <t>Consulting &amp; Accounting (Professional Services)</t>
  </si>
  <si>
    <t>Legal expenses</t>
  </si>
  <si>
    <t>Insurance - Commercial Premises</t>
  </si>
  <si>
    <t>Text Books &amp; Academic Materials</t>
  </si>
  <si>
    <t>Association &amp; Group Memberships</t>
  </si>
  <si>
    <t>Misc. Expenses</t>
  </si>
  <si>
    <t>General Expenses</t>
  </si>
  <si>
    <t>Bank Fees</t>
  </si>
  <si>
    <t>Cleaning</t>
  </si>
  <si>
    <t>Freight &amp; Courier</t>
  </si>
  <si>
    <t>Professional Development</t>
  </si>
  <si>
    <t>BIK</t>
  </si>
  <si>
    <t>LPT</t>
  </si>
  <si>
    <t>Total Expenses</t>
  </si>
  <si>
    <t>Operating Profit</t>
  </si>
  <si>
    <t>Other Income</t>
  </si>
  <si>
    <t>Refunds &amp; Rebates</t>
  </si>
  <si>
    <t>Earnings Before Interest &amp; Tax</t>
  </si>
  <si>
    <t>Interest Expenses</t>
  </si>
  <si>
    <t>Interest Expense</t>
  </si>
  <si>
    <t>Earnings Before Tax</t>
  </si>
  <si>
    <t>Tax Expenses</t>
  </si>
  <si>
    <t>Revenue (Tax)</t>
  </si>
  <si>
    <t>Corporation tax charge</t>
  </si>
  <si>
    <t>Payroll Tax - Expense</t>
  </si>
  <si>
    <t>Earnings After Tax</t>
  </si>
  <si>
    <t>Net Income</t>
  </si>
  <si>
    <t>Balance Sheet</t>
  </si>
  <si>
    <t>ASSETS</t>
  </si>
  <si>
    <t>Cash &amp; Equivalents</t>
  </si>
  <si>
    <t>Revolut EUR Merchant</t>
  </si>
  <si>
    <t>Revolut EUR Main</t>
  </si>
  <si>
    <t>BOI deposit</t>
  </si>
  <si>
    <t>ULearn Term Loan</t>
  </si>
  <si>
    <t>ULearn Limited Current account</t>
  </si>
  <si>
    <t>Total Cash &amp; Equivalents</t>
  </si>
  <si>
    <t>Accounts Receivable</t>
  </si>
  <si>
    <t>Other Current Assets</t>
  </si>
  <si>
    <t>Prepayments</t>
  </si>
  <si>
    <t>Deposits and prepaid expenses</t>
  </si>
  <si>
    <t>Staff loans</t>
  </si>
  <si>
    <t>Shares &amp; Invest</t>
  </si>
  <si>
    <t>Amounts owed by group companies</t>
  </si>
  <si>
    <t>Total Other Current Assets</t>
  </si>
  <si>
    <t>Total Current Assets</t>
  </si>
  <si>
    <t>Fixed Assets</t>
  </si>
  <si>
    <t>Freeholds at cost b/f</t>
  </si>
  <si>
    <t>Equip Fixtures and fittings cost b/f</t>
  </si>
  <si>
    <t>Equip fixtures and fittings additions at cost</t>
  </si>
  <si>
    <t>Equip fixtures and fittings Acc dep b/f</t>
  </si>
  <si>
    <t>Equip fixtures and fittings Depreciation c/y charg</t>
  </si>
  <si>
    <t>Office Equipment</t>
  </si>
  <si>
    <t>Computer Equipment additions at cost</t>
  </si>
  <si>
    <t>Freehold at Revalued Amount</t>
  </si>
  <si>
    <t>Total Fixed Assets</t>
  </si>
  <si>
    <t>Total Non-Current Assets</t>
  </si>
  <si>
    <t>Total Assets</t>
  </si>
  <si>
    <t>LIABILITIES</t>
  </si>
  <si>
    <t>Accounts Payable</t>
  </si>
  <si>
    <t>Other creditors</t>
  </si>
  <si>
    <t>Total Accounts Payable</t>
  </si>
  <si>
    <t>Tax Liability</t>
  </si>
  <si>
    <t>Sales Tax</t>
  </si>
  <si>
    <t>Other Current Liabilities</t>
  </si>
  <si>
    <t>Unpaid Expense Claims</t>
  </si>
  <si>
    <t>Suspense</t>
  </si>
  <si>
    <t>Rounding</t>
  </si>
  <si>
    <t>Accruals</t>
  </si>
  <si>
    <t>Deferred income</t>
  </si>
  <si>
    <t>PAYE / PRSI</t>
  </si>
  <si>
    <t>Total Other Current Liabilities</t>
  </si>
  <si>
    <t>Total Current Liabilities</t>
  </si>
  <si>
    <t>Long Term Debt</t>
  </si>
  <si>
    <t>Long term loan</t>
  </si>
  <si>
    <t>Directors Loan A/C</t>
  </si>
  <si>
    <t>Total Long Term Debt</t>
  </si>
  <si>
    <t>Other Non-Current Liabilities</t>
  </si>
  <si>
    <t>Corp. Tax</t>
  </si>
  <si>
    <t>Total Non-Current Liabilities</t>
  </si>
  <si>
    <t>Total Liabilities</t>
  </si>
  <si>
    <t>EQUITY</t>
  </si>
  <si>
    <t>Retained Earnings</t>
  </si>
  <si>
    <t>Current Earnings</t>
  </si>
  <si>
    <t>Current Year Earnings</t>
  </si>
  <si>
    <t>Other Equity</t>
  </si>
  <si>
    <t>Ordinary share capital</t>
  </si>
  <si>
    <t>Revaluation Reserve</t>
  </si>
  <si>
    <t>Total Other Equity</t>
  </si>
  <si>
    <t>Total Equity</t>
  </si>
  <si>
    <t>Total Liabilities &amp; Equity</t>
  </si>
  <si>
    <t>Cash Flow Statement</t>
  </si>
  <si>
    <t>OPERATING ACTIVITIES</t>
  </si>
  <si>
    <t>Change in Accounts Payable</t>
  </si>
  <si>
    <t>Change in Other Current Liabilities</t>
  </si>
  <si>
    <t>Change in Tax Liability</t>
  </si>
  <si>
    <t>Change in Accounts Receivable</t>
  </si>
  <si>
    <t>Change in Other Current Assets</t>
  </si>
  <si>
    <t>Cash Flow from Operating Activities</t>
  </si>
  <si>
    <t>INVESTING ACTIVITIES</t>
  </si>
  <si>
    <t>Change in Fixed Assets (ex. Depn and Amort)</t>
  </si>
  <si>
    <t>Cash Flow from Investing Activities</t>
  </si>
  <si>
    <t>FINANCING ACTIVITIES</t>
  </si>
  <si>
    <t>Change in Other Equity</t>
  </si>
  <si>
    <t>Change in Long Term Debt</t>
  </si>
  <si>
    <t>Change in Other Non-Current Liabilities</t>
  </si>
  <si>
    <t>Cash Flow from Financing Activities</t>
  </si>
  <si>
    <t>Change in Cash &amp; Equivalents</t>
  </si>
  <si>
    <t>Cash &amp; Equivalents, Opening Balance</t>
  </si>
  <si>
    <t>Cash &amp; Equivalents, Closing Balance</t>
  </si>
</sst>
</file>

<file path=xl/styles.xml><?xml version="1.0" encoding="utf-8"?>
<styleSheet xmlns="http://schemas.openxmlformats.org/spreadsheetml/2006/main">
  <numFmts count="1">
    <numFmt numFmtId="164" formatCode="&quot;€&quot;#,##0;&quot;(&quot;&quot;€&quot;#,##0&quot;)&quot;"/>
  </numFmts>
  <fonts count="4">
    <font>
      <sz val="11"/>
      <name val="Calibri"/>
    </font>
    <font>
      <sz val="20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8">
    <xf numFmtId="0" fontId="0"/>
    <xf numFmtId="0" applyNumberFormat="0" fontId="3" applyFont="1" fillId="0" borderId="1" applyBorder="1" applyAlignment="1">
      <alignment horizontal="right"/>
    </xf>
    <xf numFmtId="0" applyNumberFormat="0" fontId="3" applyFont="1" fillId="0" borderId="1" applyBorder="1" applyAlignment="1">
      <alignment horizontal="left"/>
    </xf>
    <xf numFmtId="164" applyNumberFormat="1" fontId="3" applyFont="1" fillId="0" borderId="1" applyBorder="1" applyAlignment="1">
      <alignment horizontal="right"/>
    </xf>
    <xf numFmtId="0" applyNumberFormat="0" fontId="2" applyFont="1" fillId="0" borderId="0" applyAlignment="1">
      <alignment horizontal="left" indent="2"/>
    </xf>
    <xf numFmtId="164" applyNumberFormat="1" fontId="2" applyFont="1" fillId="0" borderId="0" applyAlignment="1">
      <alignment horizontal="right"/>
    </xf>
    <xf numFmtId="0" applyNumberFormat="0" fontId="3" applyFont="1" fillId="0" borderId="0" applyAlignment="1">
      <alignment horizontal="right"/>
    </xf>
    <xf numFmtId="0" applyNumberFormat="0" fontId="2" applyFont="1" fillId="0" borderId="0" applyAlignment="1">
      <alignment horizontal="left"/>
    </xf>
  </cellStyleXfs>
  <cellXfs count="11">
    <xf numFmtId="0" fontId="0" xfId="0"/>
    <xf numFmtId="49" applyNumberFormat="1" fontId="0" xfId="0" applyAlignment="1">
      <alignment horizontal="left"/>
    </xf>
    <xf numFmtId="0" fontId="1" applyFont="1" xfId="0" applyAlignment="1">
      <alignment horizontal="left"/>
    </xf>
    <xf numFmtId="49" applyNumberFormat="1" fontId="1" applyFont="1" xfId="0" applyAlignment="1">
      <alignment horizontal="left"/>
    </xf>
    <xf numFmtId="0" applyNumberFormat="0" fontId="3" applyFont="1" fillId="0" borderId="1" applyBorder="1" xfId="1" applyAlignment="1">
      <alignment horizontal="right"/>
    </xf>
    <xf numFmtId="0" applyNumberFormat="0" fontId="3" applyFont="1" fillId="0" borderId="1" applyBorder="1" xfId="2" applyAlignment="1">
      <alignment horizontal="left"/>
    </xf>
    <xf numFmtId="164" applyNumberFormat="1" fontId="3" applyFont="1" fillId="0" borderId="1" applyBorder="1" xfId="3" applyAlignment="1">
      <alignment horizontal="right"/>
    </xf>
    <xf numFmtId="0" applyNumberFormat="0" fontId="2" applyFont="1" fillId="0" borderId="0" xfId="4" applyAlignment="1">
      <alignment horizontal="left" indent="2"/>
    </xf>
    <xf numFmtId="164" applyNumberFormat="1" fontId="2" applyFont="1" fillId="0" borderId="0" xfId="5" applyAlignment="1">
      <alignment horizontal="right"/>
    </xf>
    <xf numFmtId="0" applyNumberFormat="0" fontId="3" applyFont="1" fillId="0" borderId="0" xfId="6" applyAlignment="1">
      <alignment horizontal="right"/>
    </xf>
    <xf numFmtId="0" applyNumberFormat="0" fontId="2" applyFont="1" fillId="0" borderId="0" xfId="7" applyAlignment="1">
      <alignment horizontal="left"/>
    </xf>
  </cellXfs>
  <cellStyles count="8">
    <cellStyle name="Normal" xfId="0" builtinId="0"/>
    <cellStyle name=":::true:right:false:0:false:false0:default:zero:true" xfId="1"/>
    <cellStyle name=":::true:left:false:0:false:false0:default:zero:true" xfId="2"/>
    <cellStyle name="$@:::true:right:false:0:false:false0:default:zero:true" xfId="3"/>
    <cellStyle name=":::false:left:false:2:false:false0:default:zero:true" xfId="4"/>
    <cellStyle name="$@:::false:right:false:0:false:false0:default:zero:true" xfId="5"/>
    <cellStyle name=":::true:right:true:0:false:false0:default:zero:true" xfId="6"/>
    <cellStyle name=":::false:left:false:0:false:false0:default:zero:true" xfId="7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K77"/>
  <sheetViews>
    <sheetView workbookViewId="0">
      <pane xSplit="1" ySplit="2" topLeftCell="B3" state="frozen" activePane="bottomRight"/>
      <selection pane="topRight" activeCell="B1" sqref="B1"/>
      <selection pane="bottomLeft" activeCell="A3" sqref="A3"/>
      <selection pane="bottomRight" activeCell="A1" sqref="A1"/>
    </sheetView>
  </sheetViews>
  <sheetFormatPr defaultRowHeight="15"/>
  <cols>
    <col min="1" max="1" width="42.3811569213867" customWidth="1" style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</cols>
  <sheetData>
    <row r="1" ht="24" customHeight="1" s="2" customFormat="1">
      <c r="A1" s="3" t="s">
        <v>0</v>
      </c>
      <c r="C1" s="9" t="s">
        <v>1</v>
      </c>
    </row>
    <row r="2">
      <c r="A2" s="5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</row>
    <row r="3">
      <c r="A3" s="5" t="s">
        <v>39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7" t="s">
        <v>40</v>
      </c>
      <c r="B4" s="8">
        <v>102260.78</v>
      </c>
      <c r="C4" s="8">
        <v>132895.23</v>
      </c>
      <c r="D4" s="8">
        <v>105298.67</v>
      </c>
      <c r="E4" s="8">
        <v>98373.84</v>
      </c>
      <c r="F4" s="8">
        <v>112955.08</v>
      </c>
      <c r="G4" s="8">
        <v>55125.77</v>
      </c>
      <c r="H4" s="8">
        <v>56142.05</v>
      </c>
      <c r="I4" s="8">
        <v>50711.39</v>
      </c>
      <c r="J4" s="8">
        <v>49350.9</v>
      </c>
      <c r="K4" s="8">
        <v>137134.35</v>
      </c>
      <c r="L4" s="8">
        <v>90548.53</v>
      </c>
      <c r="M4" s="8">
        <v>23261.82</v>
      </c>
      <c r="N4" s="8">
        <v>102260.78</v>
      </c>
      <c r="O4" s="8">
        <v>142895.23</v>
      </c>
      <c r="P4" s="8">
        <v>125298.67</v>
      </c>
      <c r="Q4" s="8">
        <v>135786.00968</v>
      </c>
      <c r="R4" s="8">
        <v>152948.12916</v>
      </c>
      <c r="S4" s="8">
        <v>177948.005</v>
      </c>
      <c r="T4" s="8">
        <v>180000</v>
      </c>
      <c r="U4" s="8">
        <v>102500</v>
      </c>
      <c r="V4" s="8">
        <v>115000</v>
      </c>
      <c r="W4" s="8">
        <v>166733.7545</v>
      </c>
      <c r="X4" s="8">
        <v>116886.9271</v>
      </c>
      <c r="Y4" s="8">
        <v>44890.1474</v>
      </c>
      <c r="Z4" s="8">
        <v>129419.0346</v>
      </c>
      <c r="AA4" s="8">
        <v>162197.8961</v>
      </c>
      <c r="AB4" s="8">
        <v>132669.5769</v>
      </c>
      <c r="AC4" s="8">
        <v>143891.0303576</v>
      </c>
      <c r="AD4" s="8">
        <v>162254.4982012</v>
      </c>
      <c r="AE4" s="8">
        <v>189004.36535</v>
      </c>
      <c r="AF4" s="8">
        <v>191200</v>
      </c>
      <c r="AG4" s="8">
        <v>108275</v>
      </c>
      <c r="AH4" s="8">
        <v>121650</v>
      </c>
      <c r="AI4" s="8">
        <v>177005.117315</v>
      </c>
      <c r="AJ4" s="8">
        <v>123669.011997</v>
      </c>
      <c r="AK4" s="8">
        <v>46632.457718</v>
      </c>
    </row>
    <row r="5">
      <c r="A5" s="7" t="s">
        <v>41</v>
      </c>
      <c r="B5" s="8">
        <v>7331.25</v>
      </c>
      <c r="C5" s="8">
        <v>0</v>
      </c>
      <c r="D5" s="8">
        <v>4131.25</v>
      </c>
      <c r="E5" s="8">
        <v>3640</v>
      </c>
      <c r="F5" s="8">
        <v>7481.25</v>
      </c>
      <c r="G5" s="8">
        <v>781.25</v>
      </c>
      <c r="H5" s="8">
        <v>4131.25</v>
      </c>
      <c r="I5" s="8">
        <v>4131.25</v>
      </c>
      <c r="J5" s="8">
        <v>4131.25</v>
      </c>
      <c r="K5" s="8">
        <v>4131.25</v>
      </c>
      <c r="L5" s="8">
        <v>781.25</v>
      </c>
      <c r="M5" s="8">
        <v>7481.25</v>
      </c>
      <c r="N5" s="8">
        <v>7331.25</v>
      </c>
      <c r="O5" s="8">
        <v>0</v>
      </c>
      <c r="P5" s="8">
        <v>4131.25</v>
      </c>
      <c r="Q5" s="8">
        <v>3640</v>
      </c>
      <c r="R5" s="8">
        <v>7481.25</v>
      </c>
      <c r="S5" s="8">
        <v>781.25</v>
      </c>
      <c r="T5" s="8">
        <v>4131.25</v>
      </c>
      <c r="U5" s="8">
        <v>4131.25</v>
      </c>
      <c r="V5" s="8">
        <v>4131.25</v>
      </c>
      <c r="W5" s="8">
        <v>4131.25</v>
      </c>
      <c r="X5" s="8">
        <v>781.25</v>
      </c>
      <c r="Y5" s="8">
        <v>7481.25</v>
      </c>
      <c r="Z5" s="8">
        <v>7331.25</v>
      </c>
      <c r="AA5" s="8">
        <v>0</v>
      </c>
      <c r="AB5" s="8">
        <v>4131.25</v>
      </c>
      <c r="AC5" s="8">
        <v>3640</v>
      </c>
      <c r="AD5" s="8">
        <v>7481.25</v>
      </c>
      <c r="AE5" s="8">
        <v>781.25</v>
      </c>
      <c r="AF5" s="8">
        <v>4131.25</v>
      </c>
      <c r="AG5" s="8">
        <v>4131.25</v>
      </c>
      <c r="AH5" s="8">
        <v>4131.25</v>
      </c>
      <c r="AI5" s="8">
        <v>4131.25</v>
      </c>
      <c r="AJ5" s="8">
        <v>781.25</v>
      </c>
      <c r="AK5" s="8">
        <v>7481.25</v>
      </c>
    </row>
    <row r="6">
      <c r="A6" s="7" t="s">
        <v>42</v>
      </c>
      <c r="B6" s="8">
        <v>-59798.08</v>
      </c>
      <c r="C6" s="8">
        <v>5441.08</v>
      </c>
      <c r="D6" s="8">
        <v>5441.08</v>
      </c>
      <c r="E6" s="8">
        <v>5441.08</v>
      </c>
      <c r="F6" s="8">
        <v>5441.08</v>
      </c>
      <c r="G6" s="8">
        <v>5441.08</v>
      </c>
      <c r="H6" s="8">
        <v>5441.08</v>
      </c>
      <c r="I6" s="8">
        <v>5441.08</v>
      </c>
      <c r="J6" s="8">
        <v>0</v>
      </c>
      <c r="K6" s="8">
        <v>0</v>
      </c>
      <c r="L6" s="8">
        <v>5441.08</v>
      </c>
      <c r="M6" s="8">
        <v>0</v>
      </c>
      <c r="N6" s="8">
        <v>-10000</v>
      </c>
      <c r="O6" s="8">
        <v>-11710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5821.9556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6229.492492</v>
      </c>
      <c r="AK6" s="8">
        <v>0</v>
      </c>
    </row>
    <row r="7">
      <c r="A7" s="5" t="s">
        <v>43</v>
      </c>
      <c r="B7" s="6">
        <f>SUM(B4:B6)</f>
      </c>
      <c r="C7" s="6">
        <f>SUM(C4:C6)</f>
      </c>
      <c r="D7" s="6">
        <f>SUM(D4:D6)</f>
      </c>
      <c r="E7" s="6">
        <f>SUM(E4:E6)</f>
      </c>
      <c r="F7" s="6">
        <f>SUM(F4:F6)</f>
      </c>
      <c r="G7" s="6">
        <f>SUM(G4:G6)</f>
      </c>
      <c r="H7" s="6">
        <f>SUM(H4:H6)</f>
      </c>
      <c r="I7" s="6">
        <f>SUM(I4:I6)</f>
      </c>
      <c r="J7" s="6">
        <f>SUM(J4:J6)</f>
      </c>
      <c r="K7" s="6">
        <f>SUM(K4:K6)</f>
      </c>
      <c r="L7" s="6">
        <f>SUM(L4:L6)</f>
      </c>
      <c r="M7" s="6">
        <f>SUM(M4:M6)</f>
      </c>
      <c r="N7" s="6">
        <f>SUM(N4:N6)</f>
      </c>
      <c r="O7" s="6">
        <f>SUM(O4:O6)</f>
      </c>
      <c r="P7" s="6">
        <f>SUM(P4:P6)</f>
      </c>
      <c r="Q7" s="6">
        <f>SUM(Q4:Q6)</f>
      </c>
      <c r="R7" s="6">
        <f>SUM(R4:R6)</f>
      </c>
      <c r="S7" s="6">
        <f>SUM(S4:S6)</f>
      </c>
      <c r="T7" s="6">
        <f>SUM(T4:T6)</f>
      </c>
      <c r="U7" s="6">
        <f>SUM(U4:U6)</f>
      </c>
      <c r="V7" s="6">
        <f>SUM(V4:V6)</f>
      </c>
      <c r="W7" s="6">
        <f>SUM(W4:W6)</f>
      </c>
      <c r="X7" s="6">
        <f>SUM(X4:X6)</f>
      </c>
      <c r="Y7" s="6">
        <f>SUM(Y4:Y6)</f>
      </c>
      <c r="Z7" s="6">
        <f>SUM(Z4:Z6)</f>
      </c>
      <c r="AA7" s="6">
        <f>SUM(AA4:AA6)</f>
      </c>
      <c r="AB7" s="6">
        <f>SUM(AB4:AB6)</f>
      </c>
      <c r="AC7" s="6">
        <f>SUM(AC4:AC6)</f>
      </c>
      <c r="AD7" s="6">
        <f>SUM(AD4:AD6)</f>
      </c>
      <c r="AE7" s="6">
        <f>SUM(AE4:AE6)</f>
      </c>
      <c r="AF7" s="6">
        <f>SUM(AF4:AF6)</f>
      </c>
      <c r="AG7" s="6">
        <f>SUM(AG4:AG6)</f>
      </c>
      <c r="AH7" s="6">
        <f>SUM(AH4:AH6)</f>
      </c>
      <c r="AI7" s="6">
        <f>SUM(AI4:AI6)</f>
      </c>
      <c r="AJ7" s="6">
        <f>SUM(AJ4:AJ6)</f>
      </c>
      <c r="AK7" s="6">
        <f>SUM(AK4:AK6)</f>
      </c>
    </row>
    <row r="8">
      <c r="A8" s="5" t="s">
        <v>44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7" t="s">
        <v>45</v>
      </c>
      <c r="B9" s="8">
        <v>3180</v>
      </c>
      <c r="C9" s="8">
        <v>23602</v>
      </c>
      <c r="D9" s="8">
        <v>21338</v>
      </c>
      <c r="E9" s="8">
        <v>26171</v>
      </c>
      <c r="F9" s="8">
        <v>22420.76</v>
      </c>
      <c r="G9" s="8">
        <v>20328.5</v>
      </c>
      <c r="H9" s="8">
        <v>13806</v>
      </c>
      <c r="I9" s="8">
        <v>9748.97</v>
      </c>
      <c r="J9" s="8">
        <v>22122.7</v>
      </c>
      <c r="K9" s="8">
        <v>13070</v>
      </c>
      <c r="L9" s="8">
        <v>4014.5</v>
      </c>
      <c r="M9" s="8">
        <v>11180</v>
      </c>
      <c r="N9" s="8">
        <v>14000</v>
      </c>
      <c r="O9" s="8">
        <v>25254.14</v>
      </c>
      <c r="P9" s="8">
        <v>22831.66</v>
      </c>
      <c r="Q9" s="8">
        <v>28002.97</v>
      </c>
      <c r="R9" s="8">
        <v>23990.2132</v>
      </c>
      <c r="S9" s="8">
        <v>21751.495</v>
      </c>
      <c r="T9" s="8">
        <v>32826.25</v>
      </c>
      <c r="U9" s="8">
        <v>17326.25</v>
      </c>
      <c r="V9" s="8">
        <v>19826.25</v>
      </c>
      <c r="W9" s="8">
        <v>30173.0009</v>
      </c>
      <c r="X9" s="8">
        <v>20698.02654</v>
      </c>
      <c r="Y9" s="8">
        <v>6474.27948</v>
      </c>
      <c r="Z9" s="8">
        <v>14980</v>
      </c>
      <c r="AA9" s="8">
        <v>27021.9298</v>
      </c>
      <c r="AB9" s="8">
        <v>24429.8762</v>
      </c>
      <c r="AC9" s="8">
        <v>29963.1779</v>
      </c>
      <c r="AD9" s="8">
        <v>25669.528124</v>
      </c>
      <c r="AE9" s="8">
        <v>23274.09965</v>
      </c>
      <c r="AF9" s="8">
        <v>35124.0875</v>
      </c>
      <c r="AG9" s="8">
        <v>18539.0875</v>
      </c>
      <c r="AH9" s="8">
        <v>21214.0875</v>
      </c>
      <c r="AI9" s="8">
        <v>32285.110963</v>
      </c>
      <c r="AJ9" s="8">
        <v>22146.8883978</v>
      </c>
      <c r="AK9" s="8">
        <v>6927.4790436</v>
      </c>
    </row>
    <row r="10">
      <c r="A10" s="7" t="s">
        <v>46</v>
      </c>
      <c r="B10" s="8">
        <v>360.3</v>
      </c>
      <c r="C10" s="8">
        <v>1217.93</v>
      </c>
      <c r="D10" s="8">
        <v>87.5</v>
      </c>
      <c r="E10" s="8">
        <v>404</v>
      </c>
      <c r="F10" s="8">
        <v>2399.18</v>
      </c>
      <c r="G10" s="8">
        <v>300.9</v>
      </c>
      <c r="H10" s="8">
        <v>381</v>
      </c>
      <c r="I10" s="8">
        <v>494.15</v>
      </c>
      <c r="J10" s="8">
        <v>258.67</v>
      </c>
      <c r="K10" s="8">
        <v>833.15</v>
      </c>
      <c r="L10" s="8">
        <v>586.63</v>
      </c>
      <c r="M10" s="8">
        <v>0</v>
      </c>
      <c r="N10" s="8">
        <v>378.315</v>
      </c>
      <c r="O10" s="8">
        <v>1278.8265</v>
      </c>
      <c r="P10" s="8">
        <v>91.875</v>
      </c>
      <c r="Q10" s="8">
        <v>424.2</v>
      </c>
      <c r="R10" s="8">
        <v>2519.139</v>
      </c>
      <c r="S10" s="8">
        <v>315.945</v>
      </c>
      <c r="T10" s="8">
        <v>400.05</v>
      </c>
      <c r="U10" s="8">
        <v>518.8575</v>
      </c>
      <c r="V10" s="8">
        <v>271.6035</v>
      </c>
      <c r="W10" s="8">
        <v>874.8075</v>
      </c>
      <c r="X10" s="8">
        <v>615.9615</v>
      </c>
      <c r="Y10" s="8">
        <v>0</v>
      </c>
      <c r="Z10" s="8">
        <v>397.23075</v>
      </c>
      <c r="AA10" s="8">
        <v>1342.767825</v>
      </c>
      <c r="AB10" s="8">
        <v>96.46875</v>
      </c>
      <c r="AC10" s="8">
        <v>445.41</v>
      </c>
      <c r="AD10" s="8">
        <v>2645.09595</v>
      </c>
      <c r="AE10" s="8">
        <v>331.74225</v>
      </c>
      <c r="AF10" s="8">
        <v>420.0525</v>
      </c>
      <c r="AG10" s="8">
        <v>544.800375</v>
      </c>
      <c r="AH10" s="8">
        <v>285.183675</v>
      </c>
      <c r="AI10" s="8">
        <v>918.547875</v>
      </c>
      <c r="AJ10" s="8">
        <v>646.759575</v>
      </c>
      <c r="AK10" s="8">
        <v>0</v>
      </c>
    </row>
    <row r="11">
      <c r="A11" s="7" t="s">
        <v>47</v>
      </c>
      <c r="B11" s="8">
        <v>702.86</v>
      </c>
      <c r="C11" s="8">
        <v>64.35</v>
      </c>
      <c r="D11" s="8">
        <v>0</v>
      </c>
      <c r="E11" s="8">
        <v>376.6</v>
      </c>
      <c r="F11" s="8">
        <v>112.83</v>
      </c>
      <c r="G11" s="8">
        <v>17.83</v>
      </c>
      <c r="H11" s="8">
        <v>254.99</v>
      </c>
      <c r="I11" s="8">
        <v>0</v>
      </c>
      <c r="J11" s="8">
        <v>349.95</v>
      </c>
      <c r="K11" s="8">
        <v>0</v>
      </c>
      <c r="L11" s="8">
        <v>79.99</v>
      </c>
      <c r="M11" s="8">
        <v>0</v>
      </c>
      <c r="N11" s="8">
        <v>738.003</v>
      </c>
      <c r="O11" s="8">
        <v>67.5675</v>
      </c>
      <c r="P11" s="8">
        <v>0</v>
      </c>
      <c r="Q11" s="8">
        <v>395.43</v>
      </c>
      <c r="R11" s="8">
        <v>118.4715</v>
      </c>
      <c r="S11" s="8">
        <v>18.7215</v>
      </c>
      <c r="T11" s="8">
        <v>267.7395</v>
      </c>
      <c r="U11" s="8">
        <v>0</v>
      </c>
      <c r="V11" s="8">
        <v>3000</v>
      </c>
      <c r="W11" s="8">
        <v>0</v>
      </c>
      <c r="X11" s="8">
        <v>83.9895</v>
      </c>
      <c r="Y11" s="8">
        <v>0</v>
      </c>
      <c r="Z11" s="8">
        <v>774.90315</v>
      </c>
      <c r="AA11" s="8">
        <v>70.945875</v>
      </c>
      <c r="AB11" s="8">
        <v>0</v>
      </c>
      <c r="AC11" s="8">
        <v>415.2015</v>
      </c>
      <c r="AD11" s="8">
        <v>124.395075</v>
      </c>
      <c r="AE11" s="8">
        <v>19.657575</v>
      </c>
      <c r="AF11" s="8">
        <v>281.126475</v>
      </c>
      <c r="AG11" s="8">
        <v>0</v>
      </c>
      <c r="AH11" s="8">
        <v>3150</v>
      </c>
      <c r="AI11" s="8">
        <v>0</v>
      </c>
      <c r="AJ11" s="8">
        <v>88.188975</v>
      </c>
      <c r="AK11" s="8">
        <v>0</v>
      </c>
    </row>
    <row r="12">
      <c r="A12" s="7" t="s">
        <v>48</v>
      </c>
      <c r="B12" s="8">
        <v>0</v>
      </c>
      <c r="C12" s="8">
        <v>0</v>
      </c>
      <c r="D12" s="8">
        <v>0</v>
      </c>
      <c r="E12" s="8">
        <v>318.25</v>
      </c>
      <c r="F12" s="8">
        <v>0</v>
      </c>
      <c r="G12" s="8">
        <v>206.57</v>
      </c>
      <c r="H12" s="8">
        <v>170.25</v>
      </c>
      <c r="I12" s="8">
        <v>0</v>
      </c>
      <c r="J12" s="8">
        <v>0</v>
      </c>
      <c r="K12" s="8">
        <v>0</v>
      </c>
      <c r="L12" s="8">
        <v>0</v>
      </c>
      <c r="M12" s="8">
        <v>9136.75</v>
      </c>
      <c r="N12" s="8">
        <v>0</v>
      </c>
      <c r="O12" s="8">
        <v>0</v>
      </c>
      <c r="P12" s="8">
        <v>0</v>
      </c>
      <c r="Q12" s="8">
        <v>318.25</v>
      </c>
      <c r="R12" s="8">
        <v>0</v>
      </c>
      <c r="S12" s="8">
        <v>206.57</v>
      </c>
      <c r="T12" s="8">
        <v>170.25</v>
      </c>
      <c r="U12" s="8">
        <v>0</v>
      </c>
      <c r="V12" s="8">
        <v>0</v>
      </c>
      <c r="W12" s="8">
        <v>0</v>
      </c>
      <c r="X12" s="8">
        <v>0</v>
      </c>
      <c r="Y12" s="8">
        <v>9136.75</v>
      </c>
      <c r="Z12" s="8">
        <v>0</v>
      </c>
      <c r="AA12" s="8">
        <v>0</v>
      </c>
      <c r="AB12" s="8">
        <v>0</v>
      </c>
      <c r="AC12" s="8">
        <v>318.25</v>
      </c>
      <c r="AD12" s="8">
        <v>0</v>
      </c>
      <c r="AE12" s="8">
        <v>206.57</v>
      </c>
      <c r="AF12" s="8">
        <v>170.25</v>
      </c>
      <c r="AG12" s="8">
        <v>0</v>
      </c>
      <c r="AH12" s="8">
        <v>0</v>
      </c>
      <c r="AI12" s="8">
        <v>0</v>
      </c>
      <c r="AJ12" s="8">
        <v>0</v>
      </c>
      <c r="AK12" s="8">
        <v>9136.75</v>
      </c>
    </row>
    <row r="13">
      <c r="A13" s="7" t="s">
        <v>49</v>
      </c>
      <c r="B13" s="8">
        <v>0</v>
      </c>
      <c r="C13" s="8">
        <v>1628.08</v>
      </c>
      <c r="D13" s="8">
        <v>1600</v>
      </c>
      <c r="E13" s="8">
        <v>2479.24</v>
      </c>
      <c r="F13" s="8">
        <v>3236.46</v>
      </c>
      <c r="G13" s="8">
        <v>780</v>
      </c>
      <c r="H13" s="8">
        <v>0</v>
      </c>
      <c r="I13" s="8">
        <v>0</v>
      </c>
      <c r="J13" s="8">
        <v>0</v>
      </c>
      <c r="K13" s="8">
        <v>0</v>
      </c>
      <c r="L13" s="8">
        <v>1580</v>
      </c>
      <c r="M13" s="8">
        <v>1515.81</v>
      </c>
      <c r="N13" s="8">
        <v>1315</v>
      </c>
      <c r="O13" s="8">
        <v>1709.484</v>
      </c>
      <c r="P13" s="8">
        <v>1680</v>
      </c>
      <c r="Q13" s="8">
        <v>2603.202</v>
      </c>
      <c r="R13" s="8">
        <v>3398.283</v>
      </c>
      <c r="S13" s="8">
        <v>819</v>
      </c>
      <c r="T13" s="8">
        <v>0</v>
      </c>
      <c r="U13" s="8">
        <v>0</v>
      </c>
      <c r="V13" s="8">
        <v>0</v>
      </c>
      <c r="W13" s="8">
        <v>0</v>
      </c>
      <c r="X13" s="8">
        <v>1659</v>
      </c>
      <c r="Y13" s="8">
        <v>1591.6005</v>
      </c>
      <c r="Z13" s="8">
        <v>1380.75</v>
      </c>
      <c r="AA13" s="8">
        <v>1794.9582</v>
      </c>
      <c r="AB13" s="8">
        <v>1764</v>
      </c>
      <c r="AC13" s="8">
        <v>2733.3621</v>
      </c>
      <c r="AD13" s="8">
        <v>3568.19715</v>
      </c>
      <c r="AE13" s="8">
        <v>859.95</v>
      </c>
      <c r="AF13" s="8">
        <v>0</v>
      </c>
      <c r="AG13" s="8">
        <v>0</v>
      </c>
      <c r="AH13" s="8">
        <v>0</v>
      </c>
      <c r="AI13" s="8">
        <v>0</v>
      </c>
      <c r="AJ13" s="8">
        <v>1741.95</v>
      </c>
      <c r="AK13" s="8">
        <v>1671.180525</v>
      </c>
    </row>
    <row r="14">
      <c r="A14" s="7" t="s">
        <v>50</v>
      </c>
      <c r="B14" s="8">
        <v>286</v>
      </c>
      <c r="C14" s="8">
        <v>701.5</v>
      </c>
      <c r="D14" s="8">
        <v>556.08</v>
      </c>
      <c r="E14" s="8">
        <v>217.11</v>
      </c>
      <c r="F14" s="8">
        <v>296.66</v>
      </c>
      <c r="G14" s="8">
        <v>418.73</v>
      </c>
      <c r="H14" s="8">
        <v>795.08</v>
      </c>
      <c r="I14" s="8">
        <v>1357.71</v>
      </c>
      <c r="J14" s="8">
        <v>381.38</v>
      </c>
      <c r="K14" s="8">
        <v>110.12</v>
      </c>
      <c r="L14" s="8">
        <v>316.1</v>
      </c>
      <c r="M14" s="8">
        <v>507.62</v>
      </c>
      <c r="N14" s="8">
        <v>300.3</v>
      </c>
      <c r="O14" s="8">
        <v>736.575</v>
      </c>
      <c r="P14" s="8">
        <v>556.08</v>
      </c>
      <c r="Q14" s="8">
        <v>217.11</v>
      </c>
      <c r="R14" s="8">
        <v>296.66</v>
      </c>
      <c r="S14" s="8">
        <v>418.73</v>
      </c>
      <c r="T14" s="8">
        <v>795.08</v>
      </c>
      <c r="U14" s="8">
        <v>1357.71</v>
      </c>
      <c r="V14" s="8">
        <v>381.38</v>
      </c>
      <c r="W14" s="8">
        <v>110.12</v>
      </c>
      <c r="X14" s="8">
        <v>316.1</v>
      </c>
      <c r="Y14" s="8">
        <v>507.62</v>
      </c>
      <c r="Z14" s="8">
        <v>300.3</v>
      </c>
      <c r="AA14" s="8">
        <v>736.575</v>
      </c>
      <c r="AB14" s="8">
        <v>556.08</v>
      </c>
      <c r="AC14" s="8">
        <v>217.11</v>
      </c>
      <c r="AD14" s="8">
        <v>296.66</v>
      </c>
      <c r="AE14" s="8">
        <v>418.73</v>
      </c>
      <c r="AF14" s="8">
        <v>795.08</v>
      </c>
      <c r="AG14" s="8">
        <v>1357.71</v>
      </c>
      <c r="AH14" s="8">
        <v>381.38</v>
      </c>
      <c r="AI14" s="8">
        <v>110.12</v>
      </c>
      <c r="AJ14" s="8">
        <v>316.1</v>
      </c>
      <c r="AK14" s="8">
        <v>507.62</v>
      </c>
    </row>
    <row r="15">
      <c r="A15" s="7" t="s">
        <v>51</v>
      </c>
      <c r="B15" s="8">
        <v>480</v>
      </c>
      <c r="C15" s="8">
        <v>735</v>
      </c>
      <c r="D15" s="8">
        <v>600</v>
      </c>
      <c r="E15" s="8">
        <v>610</v>
      </c>
      <c r="F15" s="8">
        <v>947</v>
      </c>
      <c r="G15" s="8">
        <v>791</v>
      </c>
      <c r="H15" s="8">
        <v>132</v>
      </c>
      <c r="I15" s="8">
        <v>162</v>
      </c>
      <c r="J15" s="8">
        <v>414</v>
      </c>
      <c r="K15" s="8">
        <v>417</v>
      </c>
      <c r="L15" s="8">
        <v>759</v>
      </c>
      <c r="M15" s="8">
        <v>55</v>
      </c>
      <c r="N15" s="8">
        <v>504</v>
      </c>
      <c r="O15" s="8">
        <v>771.75</v>
      </c>
      <c r="P15" s="8">
        <v>630</v>
      </c>
      <c r="Q15" s="8">
        <v>640.5</v>
      </c>
      <c r="R15" s="8">
        <v>994.35</v>
      </c>
      <c r="S15" s="8">
        <v>830.55</v>
      </c>
      <c r="T15" s="8">
        <v>138.6</v>
      </c>
      <c r="U15" s="8">
        <v>170.1</v>
      </c>
      <c r="V15" s="8">
        <v>434.7</v>
      </c>
      <c r="W15" s="8">
        <v>437.85</v>
      </c>
      <c r="X15" s="8">
        <v>796.95</v>
      </c>
      <c r="Y15" s="8">
        <v>57.75</v>
      </c>
      <c r="Z15" s="8">
        <v>529.2</v>
      </c>
      <c r="AA15" s="8">
        <v>810.3375</v>
      </c>
      <c r="AB15" s="8">
        <v>661.5</v>
      </c>
      <c r="AC15" s="8">
        <v>672.525</v>
      </c>
      <c r="AD15" s="8">
        <v>1044.0675</v>
      </c>
      <c r="AE15" s="8">
        <v>872.0775</v>
      </c>
      <c r="AF15" s="8">
        <v>145.53</v>
      </c>
      <c r="AG15" s="8">
        <v>178.605</v>
      </c>
      <c r="AH15" s="8">
        <v>456.435</v>
      </c>
      <c r="AI15" s="8">
        <v>459.7425</v>
      </c>
      <c r="AJ15" s="8">
        <v>836.7975</v>
      </c>
      <c r="AK15" s="8">
        <v>60.6375</v>
      </c>
    </row>
    <row r="16">
      <c r="A16" s="7" t="s">
        <v>52</v>
      </c>
      <c r="B16" s="8">
        <v>-4144.5</v>
      </c>
      <c r="C16" s="8">
        <v>533.7</v>
      </c>
      <c r="D16" s="8">
        <v>0</v>
      </c>
      <c r="E16" s="8">
        <v>100</v>
      </c>
      <c r="F16" s="8">
        <v>2134</v>
      </c>
      <c r="G16" s="8">
        <v>1200</v>
      </c>
      <c r="H16" s="8">
        <v>1355.3</v>
      </c>
      <c r="I16" s="8">
        <v>0</v>
      </c>
      <c r="J16" s="8">
        <v>1675.2</v>
      </c>
      <c r="K16" s="8">
        <v>1200</v>
      </c>
      <c r="L16" s="8">
        <v>0</v>
      </c>
      <c r="M16" s="8">
        <v>0</v>
      </c>
      <c r="N16" s="8">
        <v>1500</v>
      </c>
      <c r="O16" s="8">
        <v>571.059</v>
      </c>
      <c r="P16" s="8">
        <v>500</v>
      </c>
      <c r="Q16" s="8">
        <v>550</v>
      </c>
      <c r="R16" s="8">
        <v>2283.38</v>
      </c>
      <c r="S16" s="8">
        <v>1284</v>
      </c>
      <c r="T16" s="8">
        <v>1450.171</v>
      </c>
      <c r="U16" s="8">
        <v>0</v>
      </c>
      <c r="V16" s="8">
        <v>1792.464</v>
      </c>
      <c r="W16" s="8">
        <v>1284</v>
      </c>
      <c r="X16" s="8">
        <v>0</v>
      </c>
      <c r="Y16" s="8">
        <v>0</v>
      </c>
      <c r="Z16" s="8">
        <v>1575</v>
      </c>
      <c r="AA16" s="8">
        <v>599.61195</v>
      </c>
      <c r="AB16" s="8">
        <v>525</v>
      </c>
      <c r="AC16" s="8">
        <v>577.5</v>
      </c>
      <c r="AD16" s="8">
        <v>2397.549</v>
      </c>
      <c r="AE16" s="8">
        <v>1348.2</v>
      </c>
      <c r="AF16" s="8">
        <v>1522.67955</v>
      </c>
      <c r="AG16" s="8">
        <v>0</v>
      </c>
      <c r="AH16" s="8">
        <v>1882.0872</v>
      </c>
      <c r="AI16" s="8">
        <v>1348.2</v>
      </c>
      <c r="AJ16" s="8">
        <v>0</v>
      </c>
      <c r="AK16" s="8">
        <v>0</v>
      </c>
    </row>
    <row r="17">
      <c r="A17" s="7" t="s">
        <v>53</v>
      </c>
      <c r="B17" s="8">
        <v>1305</v>
      </c>
      <c r="C17" s="8">
        <v>1210</v>
      </c>
      <c r="D17" s="8">
        <v>6275</v>
      </c>
      <c r="E17" s="8">
        <v>1890</v>
      </c>
      <c r="F17" s="8">
        <v>1630</v>
      </c>
      <c r="G17" s="8">
        <v>950</v>
      </c>
      <c r="H17" s="8">
        <v>80</v>
      </c>
      <c r="I17" s="8">
        <v>2610</v>
      </c>
      <c r="J17" s="8">
        <v>30</v>
      </c>
      <c r="K17" s="8">
        <v>2390</v>
      </c>
      <c r="L17" s="8">
        <v>0</v>
      </c>
      <c r="M17" s="8">
        <v>1135</v>
      </c>
      <c r="N17" s="8">
        <v>1370.25</v>
      </c>
      <c r="O17" s="8">
        <v>1270.5</v>
      </c>
      <c r="P17" s="8">
        <v>1400</v>
      </c>
      <c r="Q17" s="8">
        <v>1984.5</v>
      </c>
      <c r="R17" s="8">
        <v>1711.5</v>
      </c>
      <c r="S17" s="8">
        <v>997.5</v>
      </c>
      <c r="T17" s="8">
        <v>84</v>
      </c>
      <c r="U17" s="8">
        <v>2740.5</v>
      </c>
      <c r="V17" s="8">
        <v>31.5</v>
      </c>
      <c r="W17" s="8">
        <v>2509.5</v>
      </c>
      <c r="X17" s="8">
        <v>0</v>
      </c>
      <c r="Y17" s="8">
        <v>1191.75</v>
      </c>
      <c r="Z17" s="8">
        <v>1438.7625</v>
      </c>
      <c r="AA17" s="8">
        <v>1334.025</v>
      </c>
      <c r="AB17" s="8">
        <v>1470</v>
      </c>
      <c r="AC17" s="8">
        <v>2083.725</v>
      </c>
      <c r="AD17" s="8">
        <v>1797.075</v>
      </c>
      <c r="AE17" s="8">
        <v>1047.375</v>
      </c>
      <c r="AF17" s="8">
        <v>88.2</v>
      </c>
      <c r="AG17" s="8">
        <v>2877.525</v>
      </c>
      <c r="AH17" s="8">
        <v>33.075</v>
      </c>
      <c r="AI17" s="8">
        <v>2634.975</v>
      </c>
      <c r="AJ17" s="8">
        <v>0</v>
      </c>
      <c r="AK17" s="8">
        <v>1251.3375</v>
      </c>
    </row>
    <row r="18">
      <c r="A18" s="7" t="s">
        <v>54</v>
      </c>
      <c r="B18" s="8">
        <v>242.98</v>
      </c>
      <c r="C18" s="8">
        <v>25</v>
      </c>
      <c r="D18" s="8">
        <v>155.65</v>
      </c>
      <c r="E18" s="8">
        <v>65</v>
      </c>
      <c r="F18" s="8">
        <v>47.8</v>
      </c>
      <c r="G18" s="8">
        <v>0</v>
      </c>
      <c r="H18" s="8">
        <v>650</v>
      </c>
      <c r="I18" s="8">
        <v>0</v>
      </c>
      <c r="J18" s="8">
        <v>26.98</v>
      </c>
      <c r="K18" s="8">
        <v>0</v>
      </c>
      <c r="L18" s="8">
        <v>41.19</v>
      </c>
      <c r="M18" s="8">
        <v>45.47</v>
      </c>
      <c r="N18" s="8">
        <v>255.129</v>
      </c>
      <c r="O18" s="8">
        <v>26.25</v>
      </c>
      <c r="P18" s="8">
        <v>163.4325</v>
      </c>
      <c r="Q18" s="8">
        <v>68.25</v>
      </c>
      <c r="R18" s="8">
        <v>50.19</v>
      </c>
      <c r="S18" s="8">
        <v>0</v>
      </c>
      <c r="T18" s="8">
        <v>682.5</v>
      </c>
      <c r="U18" s="8">
        <v>0</v>
      </c>
      <c r="V18" s="8">
        <v>28.329</v>
      </c>
      <c r="W18" s="8">
        <v>0</v>
      </c>
      <c r="X18" s="8">
        <v>43.2495</v>
      </c>
      <c r="Y18" s="8">
        <v>47.7435</v>
      </c>
      <c r="Z18" s="8">
        <v>267.88545</v>
      </c>
      <c r="AA18" s="8">
        <v>27.5625</v>
      </c>
      <c r="AB18" s="8">
        <v>171.604125</v>
      </c>
      <c r="AC18" s="8">
        <v>71.6625</v>
      </c>
      <c r="AD18" s="8">
        <v>52.6995</v>
      </c>
      <c r="AE18" s="8">
        <v>0</v>
      </c>
      <c r="AF18" s="8">
        <v>716.625</v>
      </c>
      <c r="AG18" s="8">
        <v>0</v>
      </c>
      <c r="AH18" s="8">
        <v>29.74545</v>
      </c>
      <c r="AI18" s="8">
        <v>0</v>
      </c>
      <c r="AJ18" s="8">
        <v>45.411975</v>
      </c>
      <c r="AK18" s="8">
        <v>50.130675</v>
      </c>
    </row>
    <row r="19">
      <c r="A19" s="7" t="s">
        <v>55</v>
      </c>
      <c r="B19" s="8">
        <v>0</v>
      </c>
      <c r="C19" s="8">
        <v>0</v>
      </c>
      <c r="D19" s="8">
        <v>0</v>
      </c>
      <c r="E19" s="8">
        <v>0</v>
      </c>
      <c r="F19" s="8">
        <v>98.68</v>
      </c>
      <c r="G19" s="8">
        <v>0</v>
      </c>
      <c r="H19" s="8">
        <v>3.39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103.614</v>
      </c>
      <c r="S19" s="8">
        <v>0</v>
      </c>
      <c r="T19" s="8">
        <v>3.5595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108.7947</v>
      </c>
      <c r="AE19" s="8">
        <v>0</v>
      </c>
      <c r="AF19" s="8">
        <v>3.737475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</row>
    <row r="20">
      <c r="A20" s="7" t="s">
        <v>56</v>
      </c>
      <c r="B20" s="8">
        <v>0</v>
      </c>
      <c r="C20" s="8">
        <v>12.12</v>
      </c>
      <c r="D20" s="8">
        <v>0</v>
      </c>
      <c r="E20" s="8">
        <v>0</v>
      </c>
      <c r="F20" s="8">
        <v>0</v>
      </c>
      <c r="G20" s="8">
        <v>0</v>
      </c>
      <c r="H20" s="8">
        <v>1253</v>
      </c>
      <c r="I20" s="8">
        <v>3620.6</v>
      </c>
      <c r="J20" s="8">
        <v>2632.8</v>
      </c>
      <c r="K20" s="8">
        <v>1175</v>
      </c>
      <c r="L20" s="8">
        <v>0</v>
      </c>
      <c r="M20" s="8">
        <v>0</v>
      </c>
      <c r="N20" s="8">
        <v>0</v>
      </c>
      <c r="O20" s="8">
        <v>12.726</v>
      </c>
      <c r="P20" s="8">
        <v>0</v>
      </c>
      <c r="Q20" s="8">
        <v>0</v>
      </c>
      <c r="R20" s="8">
        <v>0</v>
      </c>
      <c r="S20" s="8">
        <v>0</v>
      </c>
      <c r="T20" s="8">
        <v>1315.65</v>
      </c>
      <c r="U20" s="8">
        <v>3801.63</v>
      </c>
      <c r="V20" s="8">
        <v>2764.44</v>
      </c>
      <c r="W20" s="8">
        <v>1233.75</v>
      </c>
      <c r="X20" s="8">
        <v>0</v>
      </c>
      <c r="Y20" s="8">
        <v>0</v>
      </c>
      <c r="Z20" s="8">
        <v>0</v>
      </c>
      <c r="AA20" s="8">
        <v>13.3623</v>
      </c>
      <c r="AB20" s="8">
        <v>0</v>
      </c>
      <c r="AC20" s="8">
        <v>0</v>
      </c>
      <c r="AD20" s="8">
        <v>0</v>
      </c>
      <c r="AE20" s="8">
        <v>0</v>
      </c>
      <c r="AF20" s="8">
        <v>1381.4325</v>
      </c>
      <c r="AG20" s="8">
        <v>3991.7115</v>
      </c>
      <c r="AH20" s="8">
        <v>2902.662</v>
      </c>
      <c r="AI20" s="8">
        <v>1295.4375</v>
      </c>
      <c r="AJ20" s="8">
        <v>0</v>
      </c>
      <c r="AK20" s="8">
        <v>0</v>
      </c>
    </row>
    <row r="21">
      <c r="A21" s="5" t="s">
        <v>57</v>
      </c>
      <c r="B21" s="6">
        <f>SUM(B9:B20)</f>
      </c>
      <c r="C21" s="6">
        <f>SUM(C9:C20)</f>
      </c>
      <c r="D21" s="6">
        <f>SUM(D9:D20)</f>
      </c>
      <c r="E21" s="6">
        <f>SUM(E9:E20)</f>
      </c>
      <c r="F21" s="6">
        <f>SUM(F9:F20)</f>
      </c>
      <c r="G21" s="6">
        <f>SUM(G9:G20)</f>
      </c>
      <c r="H21" s="6">
        <f>SUM(H9:H20)</f>
      </c>
      <c r="I21" s="6">
        <f>SUM(I9:I20)</f>
      </c>
      <c r="J21" s="6">
        <f>SUM(J9:J20)</f>
      </c>
      <c r="K21" s="6">
        <f>SUM(K9:K20)</f>
      </c>
      <c r="L21" s="6">
        <f>SUM(L9:L20)</f>
      </c>
      <c r="M21" s="6">
        <f>SUM(M9:M20)</f>
      </c>
      <c r="N21" s="6">
        <f>SUM(N9:N20)</f>
      </c>
      <c r="O21" s="6">
        <f>SUM(O9:O20)</f>
      </c>
      <c r="P21" s="6">
        <f>SUM(P9:P20)</f>
      </c>
      <c r="Q21" s="6">
        <f>SUM(Q9:Q20)</f>
      </c>
      <c r="R21" s="6">
        <f>SUM(R9:R20)</f>
      </c>
      <c r="S21" s="6">
        <f>SUM(S9:S20)</f>
      </c>
      <c r="T21" s="6">
        <f>SUM(T9:T20)</f>
      </c>
      <c r="U21" s="6">
        <f>SUM(U9:U20)</f>
      </c>
      <c r="V21" s="6">
        <f>SUM(V9:V20)</f>
      </c>
      <c r="W21" s="6">
        <f>SUM(W9:W20)</f>
      </c>
      <c r="X21" s="6">
        <f>SUM(X9:X20)</f>
      </c>
      <c r="Y21" s="6">
        <f>SUM(Y9:Y20)</f>
      </c>
      <c r="Z21" s="6">
        <f>SUM(Z9:Z20)</f>
      </c>
      <c r="AA21" s="6">
        <f>SUM(AA9:AA20)</f>
      </c>
      <c r="AB21" s="6">
        <f>SUM(AB9:AB20)</f>
      </c>
      <c r="AC21" s="6">
        <f>SUM(AC9:AC20)</f>
      </c>
      <c r="AD21" s="6">
        <f>SUM(AD9:AD20)</f>
      </c>
      <c r="AE21" s="6">
        <f>SUM(AE9:AE20)</f>
      </c>
      <c r="AF21" s="6">
        <f>SUM(AF9:AF20)</f>
      </c>
      <c r="AG21" s="6">
        <f>SUM(AG9:AG20)</f>
      </c>
      <c r="AH21" s="6">
        <f>SUM(AH9:AH20)</f>
      </c>
      <c r="AI21" s="6">
        <f>SUM(AI9:AI20)</f>
      </c>
      <c r="AJ21" s="6">
        <f>SUM(AJ9:AJ20)</f>
      </c>
      <c r="AK21" s="6">
        <f>SUM(AK9:AK20)</f>
      </c>
    </row>
    <row r="22">
      <c r="A22" s="5" t="s">
        <v>58</v>
      </c>
      <c r="B22" s="6">
        <f>B7-B21</f>
      </c>
      <c r="C22" s="6">
        <f>C7-C21</f>
      </c>
      <c r="D22" s="6">
        <f>D7-D21</f>
      </c>
      <c r="E22" s="6">
        <f>E7-E21</f>
      </c>
      <c r="F22" s="6">
        <f>F7-F21</f>
      </c>
      <c r="G22" s="6">
        <f>G7-G21</f>
      </c>
      <c r="H22" s="6">
        <f>H7-H21</f>
      </c>
      <c r="I22" s="6">
        <f>I7-I21</f>
      </c>
      <c r="J22" s="6">
        <f>J7-J21</f>
      </c>
      <c r="K22" s="6">
        <f>K7-K21</f>
      </c>
      <c r="L22" s="6">
        <f>L7-L21</f>
      </c>
      <c r="M22" s="6">
        <f>M7-M21</f>
      </c>
      <c r="N22" s="6">
        <f>N7-N21</f>
      </c>
      <c r="O22" s="6">
        <f>O7-O21</f>
      </c>
      <c r="P22" s="6">
        <f>P7-P21</f>
      </c>
      <c r="Q22" s="6">
        <f>Q7-Q21</f>
      </c>
      <c r="R22" s="6">
        <f>R7-R21</f>
      </c>
      <c r="S22" s="6">
        <f>S7-S21</f>
      </c>
      <c r="T22" s="6">
        <f>T7-T21</f>
      </c>
      <c r="U22" s="6">
        <f>U7-U21</f>
      </c>
      <c r="V22" s="6">
        <f>V7-V21</f>
      </c>
      <c r="W22" s="6">
        <f>W7-W21</f>
      </c>
      <c r="X22" s="6">
        <f>X7-X21</f>
      </c>
      <c r="Y22" s="6">
        <f>Y7-Y21</f>
      </c>
      <c r="Z22" s="6">
        <f>Z7-Z21</f>
      </c>
      <c r="AA22" s="6">
        <f>AA7-AA21</f>
      </c>
      <c r="AB22" s="6">
        <f>AB7-AB21</f>
      </c>
      <c r="AC22" s="6">
        <f>AC7-AC21</f>
      </c>
      <c r="AD22" s="6">
        <f>AD7-AD21</f>
      </c>
      <c r="AE22" s="6">
        <f>AE7-AE21</f>
      </c>
      <c r="AF22" s="6">
        <f>AF7-AF21</f>
      </c>
      <c r="AG22" s="6">
        <f>AG7-AG21</f>
      </c>
      <c r="AH22" s="6">
        <f>AH7-AH21</f>
      </c>
      <c r="AI22" s="6">
        <f>AI7-AI21</f>
      </c>
      <c r="AJ22" s="6">
        <f>AJ7-AJ21</f>
      </c>
      <c r="AK22" s="6">
        <f>AK7-AK21</f>
      </c>
    </row>
    <row r="23">
      <c r="A23" s="5" t="s">
        <v>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>
      <c r="A24" s="7" t="s">
        <v>60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3000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3000</v>
      </c>
      <c r="AI24" s="8">
        <v>0</v>
      </c>
      <c r="AJ24" s="8">
        <v>0</v>
      </c>
      <c r="AK24" s="8">
        <v>0</v>
      </c>
    </row>
    <row r="25">
      <c r="A25" s="7" t="s">
        <v>61</v>
      </c>
      <c r="B25" s="8">
        <v>92.25</v>
      </c>
      <c r="C25" s="8">
        <v>0</v>
      </c>
      <c r="D25" s="8">
        <v>0</v>
      </c>
      <c r="E25" s="8">
        <v>822.1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822.1</v>
      </c>
      <c r="L25" s="8">
        <v>0</v>
      </c>
      <c r="M25" s="8">
        <v>0</v>
      </c>
      <c r="N25" s="8">
        <v>94.095</v>
      </c>
      <c r="O25" s="8">
        <v>0</v>
      </c>
      <c r="P25" s="8">
        <v>0</v>
      </c>
      <c r="Q25" s="8">
        <v>838.542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838.542</v>
      </c>
      <c r="X25" s="8">
        <v>0</v>
      </c>
      <c r="Y25" s="8">
        <v>0</v>
      </c>
      <c r="Z25" s="8">
        <v>95.9769</v>
      </c>
      <c r="AA25" s="8">
        <v>0</v>
      </c>
      <c r="AB25" s="8">
        <v>0</v>
      </c>
      <c r="AC25" s="8">
        <v>855.31284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855.31284</v>
      </c>
      <c r="AJ25" s="8">
        <v>0</v>
      </c>
      <c r="AK25" s="8">
        <v>0</v>
      </c>
    </row>
    <row r="26">
      <c r="A26" s="7" t="s">
        <v>62</v>
      </c>
      <c r="B26" s="8">
        <v>416</v>
      </c>
      <c r="C26" s="8">
        <v>6416.66</v>
      </c>
      <c r="D26" s="8">
        <v>6416.66</v>
      </c>
      <c r="E26" s="8">
        <v>6416</v>
      </c>
      <c r="F26" s="8">
        <v>6416.66</v>
      </c>
      <c r="G26" s="8">
        <v>6416.66</v>
      </c>
      <c r="H26" s="8">
        <v>5216.66</v>
      </c>
      <c r="I26" s="8">
        <v>5719.41</v>
      </c>
      <c r="J26" s="8">
        <v>6416.66</v>
      </c>
      <c r="K26" s="8">
        <v>67.65</v>
      </c>
      <c r="L26" s="8">
        <v>6416.66</v>
      </c>
      <c r="M26" s="8">
        <v>6416.66</v>
      </c>
      <c r="N26" s="8">
        <v>6417</v>
      </c>
      <c r="O26" s="8">
        <v>6416.66</v>
      </c>
      <c r="P26" s="8">
        <v>6416.66</v>
      </c>
      <c r="Q26" s="8">
        <v>6416</v>
      </c>
      <c r="R26" s="8">
        <v>6416.66</v>
      </c>
      <c r="S26" s="8">
        <v>6416.66</v>
      </c>
      <c r="T26" s="8">
        <v>6417</v>
      </c>
      <c r="U26" s="8">
        <v>6417</v>
      </c>
      <c r="V26" s="8">
        <v>6416.66</v>
      </c>
      <c r="W26" s="8">
        <v>6417</v>
      </c>
      <c r="X26" s="8">
        <v>6416.66</v>
      </c>
      <c r="Y26" s="8">
        <v>6417</v>
      </c>
      <c r="Z26" s="8">
        <v>6417</v>
      </c>
      <c r="AA26" s="8">
        <v>6416.66</v>
      </c>
      <c r="AB26" s="8">
        <v>6416.66</v>
      </c>
      <c r="AC26" s="8">
        <v>6416</v>
      </c>
      <c r="AD26" s="8">
        <v>6416.66</v>
      </c>
      <c r="AE26" s="8">
        <v>6416.66</v>
      </c>
      <c r="AF26" s="8">
        <v>6417</v>
      </c>
      <c r="AG26" s="8">
        <v>6417</v>
      </c>
      <c r="AH26" s="8">
        <v>6416.66</v>
      </c>
      <c r="AI26" s="8">
        <v>6417</v>
      </c>
      <c r="AJ26" s="8">
        <v>6416.66</v>
      </c>
      <c r="AK26" s="8">
        <v>6417</v>
      </c>
    </row>
    <row r="27">
      <c r="A27" s="7" t="s">
        <v>63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-21792.72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</row>
    <row r="28">
      <c r="A28" s="7" t="s">
        <v>64</v>
      </c>
      <c r="B28" s="8">
        <v>131.61</v>
      </c>
      <c r="C28" s="8">
        <v>593.12</v>
      </c>
      <c r="D28" s="8">
        <v>5.8</v>
      </c>
      <c r="E28" s="8">
        <v>470.93</v>
      </c>
      <c r="F28" s="8">
        <v>271.09</v>
      </c>
      <c r="G28" s="8">
        <v>102.19</v>
      </c>
      <c r="H28" s="8">
        <v>301.42</v>
      </c>
      <c r="I28" s="8">
        <v>363.26</v>
      </c>
      <c r="J28" s="8">
        <v>371.63</v>
      </c>
      <c r="K28" s="8">
        <v>480.58</v>
      </c>
      <c r="L28" s="8">
        <v>92.06</v>
      </c>
      <c r="M28" s="8">
        <v>70</v>
      </c>
      <c r="N28" s="8">
        <v>134.2422</v>
      </c>
      <c r="O28" s="8">
        <v>604.9824</v>
      </c>
      <c r="P28" s="8">
        <v>5.916</v>
      </c>
      <c r="Q28" s="8">
        <v>480.3486</v>
      </c>
      <c r="R28" s="8">
        <v>276.5118</v>
      </c>
      <c r="S28" s="8">
        <v>104.2338</v>
      </c>
      <c r="T28" s="8">
        <v>307.4484</v>
      </c>
      <c r="U28" s="8">
        <v>370.5252</v>
      </c>
      <c r="V28" s="8">
        <v>379.0626</v>
      </c>
      <c r="W28" s="8">
        <v>490.1916</v>
      </c>
      <c r="X28" s="8">
        <v>93.9012</v>
      </c>
      <c r="Y28" s="8">
        <v>71.4</v>
      </c>
      <c r="Z28" s="8">
        <v>136.927044</v>
      </c>
      <c r="AA28" s="8">
        <v>617.082048</v>
      </c>
      <c r="AB28" s="8">
        <v>6.03432</v>
      </c>
      <c r="AC28" s="8">
        <v>489.955572</v>
      </c>
      <c r="AD28" s="8">
        <v>282.042036</v>
      </c>
      <c r="AE28" s="8">
        <v>106.318476</v>
      </c>
      <c r="AF28" s="8">
        <v>313.597368</v>
      </c>
      <c r="AG28" s="8">
        <v>377.935704</v>
      </c>
      <c r="AH28" s="8">
        <v>386.643852</v>
      </c>
      <c r="AI28" s="8">
        <v>499.995432</v>
      </c>
      <c r="AJ28" s="8">
        <v>95.779224</v>
      </c>
      <c r="AK28" s="8">
        <v>72.828</v>
      </c>
    </row>
    <row r="29">
      <c r="A29" s="7" t="s">
        <v>65</v>
      </c>
      <c r="B29" s="8">
        <v>822.1</v>
      </c>
      <c r="C29" s="8">
        <v>0</v>
      </c>
      <c r="D29" s="8">
        <v>0</v>
      </c>
      <c r="E29" s="8">
        <v>1612.99</v>
      </c>
      <c r="F29" s="8">
        <v>0</v>
      </c>
      <c r="G29" s="8">
        <v>0</v>
      </c>
      <c r="H29" s="8">
        <v>822.1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838.542</v>
      </c>
      <c r="O29" s="8">
        <v>0</v>
      </c>
      <c r="P29" s="8">
        <v>0</v>
      </c>
      <c r="Q29" s="8">
        <v>1645.2498</v>
      </c>
      <c r="R29" s="8">
        <v>0</v>
      </c>
      <c r="S29" s="8">
        <v>0</v>
      </c>
      <c r="T29" s="8">
        <v>838.542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855.31284</v>
      </c>
      <c r="AA29" s="8">
        <v>0</v>
      </c>
      <c r="AB29" s="8">
        <v>0</v>
      </c>
      <c r="AC29" s="8">
        <v>1678.154796</v>
      </c>
      <c r="AD29" s="8">
        <v>0</v>
      </c>
      <c r="AE29" s="8">
        <v>0</v>
      </c>
      <c r="AF29" s="8">
        <v>855.31284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</row>
    <row r="30">
      <c r="A30" s="7" t="s">
        <v>66</v>
      </c>
      <c r="B30" s="8">
        <v>78.42</v>
      </c>
      <c r="C30" s="8">
        <v>2078.19</v>
      </c>
      <c r="D30" s="8">
        <v>0</v>
      </c>
      <c r="E30" s="8">
        <v>150</v>
      </c>
      <c r="F30" s="8">
        <v>655.32</v>
      </c>
      <c r="G30" s="8">
        <v>0</v>
      </c>
      <c r="H30" s="8">
        <v>53.1</v>
      </c>
      <c r="I30" s="8">
        <v>527</v>
      </c>
      <c r="J30" s="8">
        <v>0</v>
      </c>
      <c r="K30" s="8">
        <v>21.95</v>
      </c>
      <c r="L30" s="8">
        <v>0</v>
      </c>
      <c r="M30" s="8">
        <v>0</v>
      </c>
      <c r="N30" s="8">
        <v>79.9884</v>
      </c>
      <c r="O30" s="8">
        <v>2119.7538</v>
      </c>
      <c r="P30" s="8">
        <v>0</v>
      </c>
      <c r="Q30" s="8">
        <v>153</v>
      </c>
      <c r="R30" s="8">
        <v>668.4264</v>
      </c>
      <c r="S30" s="8">
        <v>0</v>
      </c>
      <c r="T30" s="8">
        <v>54.162</v>
      </c>
      <c r="U30" s="8">
        <v>537.54</v>
      </c>
      <c r="V30" s="8">
        <v>0</v>
      </c>
      <c r="W30" s="8">
        <v>22.389</v>
      </c>
      <c r="X30" s="8">
        <v>0</v>
      </c>
      <c r="Y30" s="8">
        <v>0</v>
      </c>
      <c r="Z30" s="8">
        <v>81.588168</v>
      </c>
      <c r="AA30" s="8">
        <v>2162.148876</v>
      </c>
      <c r="AB30" s="8">
        <v>0</v>
      </c>
      <c r="AC30" s="8">
        <v>156.06</v>
      </c>
      <c r="AD30" s="8">
        <v>681.794928</v>
      </c>
      <c r="AE30" s="8">
        <v>0</v>
      </c>
      <c r="AF30" s="8">
        <v>55.24524</v>
      </c>
      <c r="AG30" s="8">
        <v>548.2908</v>
      </c>
      <c r="AH30" s="8">
        <v>0</v>
      </c>
      <c r="AI30" s="8">
        <v>22.83678</v>
      </c>
      <c r="AJ30" s="8">
        <v>0</v>
      </c>
      <c r="AK30" s="8">
        <v>0</v>
      </c>
    </row>
    <row r="31">
      <c r="A31" s="7" t="s">
        <v>67</v>
      </c>
      <c r="B31" s="8">
        <v>209</v>
      </c>
      <c r="C31" s="8">
        <v>315</v>
      </c>
      <c r="D31" s="8">
        <v>0</v>
      </c>
      <c r="E31" s="8">
        <v>90.99</v>
      </c>
      <c r="F31" s="8">
        <v>317.7</v>
      </c>
      <c r="G31" s="8">
        <v>547.16</v>
      </c>
      <c r="H31" s="8">
        <v>57.12</v>
      </c>
      <c r="I31" s="8">
        <v>0</v>
      </c>
      <c r="J31" s="8">
        <v>0</v>
      </c>
      <c r="K31" s="8">
        <v>57.12</v>
      </c>
      <c r="L31" s="8">
        <v>0</v>
      </c>
      <c r="M31" s="8">
        <v>0</v>
      </c>
      <c r="N31" s="8">
        <v>213.18</v>
      </c>
      <c r="O31" s="8">
        <v>321.3</v>
      </c>
      <c r="P31" s="8">
        <v>0</v>
      </c>
      <c r="Q31" s="8">
        <v>92.8098</v>
      </c>
      <c r="R31" s="8">
        <v>324.054</v>
      </c>
      <c r="S31" s="8">
        <v>558.1032</v>
      </c>
      <c r="T31" s="8">
        <v>58.2624</v>
      </c>
      <c r="U31" s="8">
        <v>0</v>
      </c>
      <c r="V31" s="8">
        <v>0</v>
      </c>
      <c r="W31" s="8">
        <v>58.2624</v>
      </c>
      <c r="X31" s="8">
        <v>0</v>
      </c>
      <c r="Y31" s="8">
        <v>0</v>
      </c>
      <c r="Z31" s="8">
        <v>217.4436</v>
      </c>
      <c r="AA31" s="8">
        <v>327.726</v>
      </c>
      <c r="AB31" s="8">
        <v>0</v>
      </c>
      <c r="AC31" s="8">
        <v>94.665996</v>
      </c>
      <c r="AD31" s="8">
        <v>330.53508</v>
      </c>
      <c r="AE31" s="8">
        <v>569.265264</v>
      </c>
      <c r="AF31" s="8">
        <v>59.427648</v>
      </c>
      <c r="AG31" s="8">
        <v>0</v>
      </c>
      <c r="AH31" s="8">
        <v>0</v>
      </c>
      <c r="AI31" s="8">
        <v>59.427648</v>
      </c>
      <c r="AJ31" s="8">
        <v>0</v>
      </c>
      <c r="AK31" s="8">
        <v>0</v>
      </c>
    </row>
    <row r="32">
      <c r="A32" s="7" t="s">
        <v>68</v>
      </c>
      <c r="B32" s="8">
        <v>663.16</v>
      </c>
      <c r="C32" s="8">
        <v>172.76</v>
      </c>
      <c r="D32" s="8">
        <v>109.35</v>
      </c>
      <c r="E32" s="8">
        <v>240.38</v>
      </c>
      <c r="F32" s="8">
        <v>203.15</v>
      </c>
      <c r="G32" s="8">
        <v>95.49</v>
      </c>
      <c r="H32" s="8">
        <v>199.81</v>
      </c>
      <c r="I32" s="8">
        <v>60.99</v>
      </c>
      <c r="J32" s="8">
        <v>198.51</v>
      </c>
      <c r="K32" s="8">
        <v>210.25</v>
      </c>
      <c r="L32" s="8">
        <v>54.46</v>
      </c>
      <c r="M32" s="8">
        <v>163.86</v>
      </c>
      <c r="N32" s="8">
        <v>663.16</v>
      </c>
      <c r="O32" s="8">
        <v>172.76</v>
      </c>
      <c r="P32" s="8">
        <v>109.35</v>
      </c>
      <c r="Q32" s="8">
        <v>240.38</v>
      </c>
      <c r="R32" s="8">
        <v>203.15</v>
      </c>
      <c r="S32" s="8">
        <v>95.49</v>
      </c>
      <c r="T32" s="8">
        <v>199.81</v>
      </c>
      <c r="U32" s="8">
        <v>60.99</v>
      </c>
      <c r="V32" s="8">
        <v>198.51</v>
      </c>
      <c r="W32" s="8">
        <v>210.25</v>
      </c>
      <c r="X32" s="8">
        <v>54.46</v>
      </c>
      <c r="Y32" s="8">
        <v>163.86</v>
      </c>
      <c r="Z32" s="8">
        <v>663.16</v>
      </c>
      <c r="AA32" s="8">
        <v>172.76</v>
      </c>
      <c r="AB32" s="8">
        <v>109.35</v>
      </c>
      <c r="AC32" s="8">
        <v>240.38</v>
      </c>
      <c r="AD32" s="8">
        <v>203.15</v>
      </c>
      <c r="AE32" s="8">
        <v>95.49</v>
      </c>
      <c r="AF32" s="8">
        <v>199.81</v>
      </c>
      <c r="AG32" s="8">
        <v>60.99</v>
      </c>
      <c r="AH32" s="8">
        <v>198.51</v>
      </c>
      <c r="AI32" s="8">
        <v>210.25</v>
      </c>
      <c r="AJ32" s="8">
        <v>54.46</v>
      </c>
      <c r="AK32" s="8">
        <v>163.86</v>
      </c>
    </row>
    <row r="33">
      <c r="A33" s="7" t="s">
        <v>69</v>
      </c>
      <c r="B33" s="8">
        <v>0</v>
      </c>
      <c r="C33" s="8">
        <v>0</v>
      </c>
      <c r="D33" s="8">
        <v>0</v>
      </c>
      <c r="E33" s="8">
        <v>0</v>
      </c>
      <c r="F33" s="8">
        <v>73.8</v>
      </c>
      <c r="G33" s="8">
        <v>73.8</v>
      </c>
      <c r="H33" s="8">
        <v>73.8</v>
      </c>
      <c r="I33" s="8">
        <v>73.8</v>
      </c>
      <c r="J33" s="8">
        <v>73.8</v>
      </c>
      <c r="K33" s="8">
        <v>0</v>
      </c>
      <c r="L33" s="8">
        <v>73.8</v>
      </c>
      <c r="M33" s="8">
        <v>73.8</v>
      </c>
      <c r="N33" s="8">
        <v>0</v>
      </c>
      <c r="O33" s="8">
        <v>0</v>
      </c>
      <c r="P33" s="8">
        <v>0</v>
      </c>
      <c r="Q33" s="8">
        <v>0</v>
      </c>
      <c r="R33" s="8">
        <v>73.8</v>
      </c>
      <c r="S33" s="8">
        <v>73.8</v>
      </c>
      <c r="T33" s="8">
        <v>73.8</v>
      </c>
      <c r="U33" s="8">
        <v>73.8</v>
      </c>
      <c r="V33" s="8">
        <v>73.8</v>
      </c>
      <c r="W33" s="8">
        <v>0</v>
      </c>
      <c r="X33" s="8">
        <v>73.8</v>
      </c>
      <c r="Y33" s="8">
        <v>73.8</v>
      </c>
      <c r="Z33" s="8">
        <v>0</v>
      </c>
      <c r="AA33" s="8">
        <v>0</v>
      </c>
      <c r="AB33" s="8">
        <v>0</v>
      </c>
      <c r="AC33" s="8">
        <v>0</v>
      </c>
      <c r="AD33" s="8">
        <v>73.8</v>
      </c>
      <c r="AE33" s="8">
        <v>73.8</v>
      </c>
      <c r="AF33" s="8">
        <v>73.8</v>
      </c>
      <c r="AG33" s="8">
        <v>73.8</v>
      </c>
      <c r="AH33" s="8">
        <v>73.8</v>
      </c>
      <c r="AI33" s="8">
        <v>0</v>
      </c>
      <c r="AJ33" s="8">
        <v>73.8</v>
      </c>
      <c r="AK33" s="8">
        <v>73.8</v>
      </c>
    </row>
    <row r="34">
      <c r="A34" s="7" t="s">
        <v>70</v>
      </c>
      <c r="B34" s="8">
        <v>-1710.66</v>
      </c>
      <c r="C34" s="8">
        <v>0</v>
      </c>
      <c r="D34" s="8">
        <v>126.9</v>
      </c>
      <c r="E34" s="8">
        <v>1125.53</v>
      </c>
      <c r="F34" s="8">
        <v>2329.59</v>
      </c>
      <c r="G34" s="8">
        <v>2884.5</v>
      </c>
      <c r="H34" s="8">
        <v>2000.16</v>
      </c>
      <c r="I34" s="8">
        <v>598.17</v>
      </c>
      <c r="J34" s="8">
        <v>488.66</v>
      </c>
      <c r="K34" s="8">
        <v>534.19</v>
      </c>
      <c r="L34" s="8">
        <v>577.02</v>
      </c>
      <c r="M34" s="8">
        <v>767.39</v>
      </c>
      <c r="N34" s="8">
        <v>1000</v>
      </c>
      <c r="O34" s="8">
        <v>1000</v>
      </c>
      <c r="P34" s="8">
        <v>126.9</v>
      </c>
      <c r="Q34" s="8">
        <v>1125.53</v>
      </c>
      <c r="R34" s="8">
        <v>2329.59</v>
      </c>
      <c r="S34" s="8">
        <v>2884.5</v>
      </c>
      <c r="T34" s="8">
        <v>2000.16</v>
      </c>
      <c r="U34" s="8">
        <v>598.17</v>
      </c>
      <c r="V34" s="8">
        <v>488.66</v>
      </c>
      <c r="W34" s="8">
        <v>534.19</v>
      </c>
      <c r="X34" s="8">
        <v>577.02</v>
      </c>
      <c r="Y34" s="8">
        <v>767.39</v>
      </c>
      <c r="Z34" s="8">
        <v>1000</v>
      </c>
      <c r="AA34" s="8">
        <v>1000</v>
      </c>
      <c r="AB34" s="8">
        <v>126.9</v>
      </c>
      <c r="AC34" s="8">
        <v>1125.53</v>
      </c>
      <c r="AD34" s="8">
        <v>2329.59</v>
      </c>
      <c r="AE34" s="8">
        <v>2884.5</v>
      </c>
      <c r="AF34" s="8">
        <v>2000.16</v>
      </c>
      <c r="AG34" s="8">
        <v>598.17</v>
      </c>
      <c r="AH34" s="8">
        <v>488.66</v>
      </c>
      <c r="AI34" s="8">
        <v>534.19</v>
      </c>
      <c r="AJ34" s="8">
        <v>577.02</v>
      </c>
      <c r="AK34" s="8">
        <v>767.39</v>
      </c>
    </row>
    <row r="35">
      <c r="A35" s="7" t="s">
        <v>71</v>
      </c>
      <c r="B35" s="8">
        <v>0</v>
      </c>
      <c r="C35" s="8">
        <v>939.94</v>
      </c>
      <c r="D35" s="8">
        <v>0</v>
      </c>
      <c r="E35" s="8">
        <v>1731.33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1021.23</v>
      </c>
      <c r="N35" s="8">
        <v>0</v>
      </c>
      <c r="O35" s="8">
        <v>939.94</v>
      </c>
      <c r="P35" s="8">
        <v>0</v>
      </c>
      <c r="Q35" s="8">
        <v>1731.33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1021.23</v>
      </c>
      <c r="Z35" s="8">
        <v>0</v>
      </c>
      <c r="AA35" s="8">
        <v>939.94</v>
      </c>
      <c r="AB35" s="8">
        <v>0</v>
      </c>
      <c r="AC35" s="8">
        <v>1731.33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1021.23</v>
      </c>
    </row>
    <row r="36">
      <c r="A36" s="7" t="s">
        <v>72</v>
      </c>
      <c r="B36" s="8">
        <v>2474.4</v>
      </c>
      <c r="C36" s="8">
        <v>2764.65</v>
      </c>
      <c r="D36" s="8">
        <v>2417.48</v>
      </c>
      <c r="E36" s="8">
        <v>2951.89</v>
      </c>
      <c r="F36" s="8">
        <v>2761.93</v>
      </c>
      <c r="G36" s="8">
        <v>3458.58</v>
      </c>
      <c r="H36" s="8">
        <v>2806.34</v>
      </c>
      <c r="I36" s="8">
        <v>2111.22</v>
      </c>
      <c r="J36" s="8">
        <v>3008.45</v>
      </c>
      <c r="K36" s="8">
        <v>3035.24</v>
      </c>
      <c r="L36" s="8">
        <v>1853.08</v>
      </c>
      <c r="M36" s="8">
        <v>1682.99</v>
      </c>
      <c r="N36" s="8">
        <v>2474.4</v>
      </c>
      <c r="O36" s="8">
        <v>2764.65</v>
      </c>
      <c r="P36" s="8">
        <v>2417.48</v>
      </c>
      <c r="Q36" s="8">
        <v>2951.89</v>
      </c>
      <c r="R36" s="8">
        <v>2761.93</v>
      </c>
      <c r="S36" s="8">
        <v>3458.58</v>
      </c>
      <c r="T36" s="8">
        <v>2806.34</v>
      </c>
      <c r="U36" s="8">
        <v>2111.22</v>
      </c>
      <c r="V36" s="8">
        <v>3008.45</v>
      </c>
      <c r="W36" s="8">
        <v>3035.24</v>
      </c>
      <c r="X36" s="8">
        <v>1853.08</v>
      </c>
      <c r="Y36" s="8">
        <v>1682.99</v>
      </c>
      <c r="Z36" s="8">
        <v>2474.4</v>
      </c>
      <c r="AA36" s="8">
        <v>2764.65</v>
      </c>
      <c r="AB36" s="8">
        <v>2417.48</v>
      </c>
      <c r="AC36" s="8">
        <v>2951.89</v>
      </c>
      <c r="AD36" s="8">
        <v>2761.93</v>
      </c>
      <c r="AE36" s="8">
        <v>3458.58</v>
      </c>
      <c r="AF36" s="8">
        <v>2806.34</v>
      </c>
      <c r="AG36" s="8">
        <v>2111.22</v>
      </c>
      <c r="AH36" s="8">
        <v>3008.45</v>
      </c>
      <c r="AI36" s="8">
        <v>3035.24</v>
      </c>
      <c r="AJ36" s="8">
        <v>1853.08</v>
      </c>
      <c r="AK36" s="8">
        <v>1682.99</v>
      </c>
    </row>
    <row r="37">
      <c r="A37" s="7" t="s">
        <v>73</v>
      </c>
      <c r="B37" s="8">
        <v>22494.79</v>
      </c>
      <c r="C37" s="8">
        <v>30278.53</v>
      </c>
      <c r="D37" s="8">
        <v>22312.95</v>
      </c>
      <c r="E37" s="8">
        <v>25111.62</v>
      </c>
      <c r="F37" s="8">
        <v>25347.12</v>
      </c>
      <c r="G37" s="8">
        <v>26866.64</v>
      </c>
      <c r="H37" s="8">
        <v>27605.98</v>
      </c>
      <c r="I37" s="8">
        <v>27710.44</v>
      </c>
      <c r="J37" s="8">
        <v>25558.56</v>
      </c>
      <c r="K37" s="8">
        <v>35784.15</v>
      </c>
      <c r="L37" s="8">
        <v>31571.19</v>
      </c>
      <c r="M37" s="8">
        <v>0</v>
      </c>
      <c r="N37" s="8">
        <v>32550</v>
      </c>
      <c r="O37" s="8">
        <v>39342.4565</v>
      </c>
      <c r="P37" s="8">
        <v>37550</v>
      </c>
      <c r="Q37" s="8">
        <v>37550</v>
      </c>
      <c r="R37" s="8">
        <v>42550</v>
      </c>
      <c r="S37" s="8">
        <v>42550</v>
      </c>
      <c r="T37" s="8">
        <v>51050</v>
      </c>
      <c r="U37" s="8">
        <v>58300</v>
      </c>
      <c r="V37" s="8">
        <v>52550</v>
      </c>
      <c r="W37" s="8">
        <v>52550</v>
      </c>
      <c r="X37" s="8">
        <v>52550</v>
      </c>
      <c r="Y37" s="8">
        <v>45550</v>
      </c>
      <c r="Z37" s="8">
        <v>37550</v>
      </c>
      <c r="AA37" s="8">
        <v>45700.9478</v>
      </c>
      <c r="AB37" s="8">
        <v>43550</v>
      </c>
      <c r="AC37" s="8">
        <v>43550</v>
      </c>
      <c r="AD37" s="8">
        <v>49550</v>
      </c>
      <c r="AE37" s="8">
        <v>49550</v>
      </c>
      <c r="AF37" s="8">
        <v>59750</v>
      </c>
      <c r="AG37" s="8">
        <v>68450</v>
      </c>
      <c r="AH37" s="8">
        <v>61550</v>
      </c>
      <c r="AI37" s="8">
        <v>61550</v>
      </c>
      <c r="AJ37" s="8">
        <v>61550</v>
      </c>
      <c r="AK37" s="8">
        <v>53150</v>
      </c>
    </row>
    <row r="38">
      <c r="A38" s="7" t="s">
        <v>74</v>
      </c>
      <c r="B38" s="8">
        <v>46.69</v>
      </c>
      <c r="C38" s="8">
        <v>3010.44</v>
      </c>
      <c r="D38" s="8">
        <v>2890.45</v>
      </c>
      <c r="E38" s="8">
        <v>0</v>
      </c>
      <c r="F38" s="8">
        <v>0</v>
      </c>
      <c r="G38" s="8">
        <v>3490.79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47.6238</v>
      </c>
      <c r="O38" s="8">
        <v>3070.6488</v>
      </c>
      <c r="P38" s="8">
        <v>2948.259</v>
      </c>
      <c r="Q38" s="8">
        <v>0</v>
      </c>
      <c r="R38" s="8">
        <v>0</v>
      </c>
      <c r="S38" s="8">
        <v>3560.6058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48.576276</v>
      </c>
      <c r="AA38" s="8">
        <v>3132.061776</v>
      </c>
      <c r="AB38" s="8">
        <v>3007.22418</v>
      </c>
      <c r="AC38" s="8">
        <v>0</v>
      </c>
      <c r="AD38" s="8">
        <v>0</v>
      </c>
      <c r="AE38" s="8">
        <v>3631.817916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</row>
    <row r="39">
      <c r="A39" s="7" t="s">
        <v>75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100000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</row>
    <row r="40">
      <c r="A40" s="7" t="s">
        <v>76</v>
      </c>
      <c r="B40" s="8">
        <v>4970.5</v>
      </c>
      <c r="C40" s="8">
        <v>2760.35</v>
      </c>
      <c r="D40" s="8">
        <v>3890.27</v>
      </c>
      <c r="E40" s="8">
        <v>3943.97</v>
      </c>
      <c r="F40" s="8">
        <v>3274.44</v>
      </c>
      <c r="G40" s="8">
        <v>3217.18</v>
      </c>
      <c r="H40" s="8">
        <v>4936.44</v>
      </c>
      <c r="I40" s="8">
        <v>3513.75</v>
      </c>
      <c r="J40" s="8">
        <v>4080.55</v>
      </c>
      <c r="K40" s="8">
        <v>4453.91</v>
      </c>
      <c r="L40" s="8">
        <v>3694.39</v>
      </c>
      <c r="M40" s="8">
        <v>3350.61</v>
      </c>
      <c r="N40" s="8">
        <v>5069.91</v>
      </c>
      <c r="O40" s="8">
        <v>2815.557</v>
      </c>
      <c r="P40" s="8">
        <v>3968.0754</v>
      </c>
      <c r="Q40" s="8">
        <v>4022.8494</v>
      </c>
      <c r="R40" s="8">
        <v>3339.9288</v>
      </c>
      <c r="S40" s="8">
        <v>3281.5236</v>
      </c>
      <c r="T40" s="8">
        <v>5035.1688</v>
      </c>
      <c r="U40" s="8">
        <v>3584.025</v>
      </c>
      <c r="V40" s="8">
        <v>4162.161</v>
      </c>
      <c r="W40" s="8">
        <v>4542.9882</v>
      </c>
      <c r="X40" s="8">
        <v>3768.2778</v>
      </c>
      <c r="Y40" s="8">
        <v>3417.6222</v>
      </c>
      <c r="Z40" s="8">
        <v>5171.3082</v>
      </c>
      <c r="AA40" s="8">
        <v>2871.86814</v>
      </c>
      <c r="AB40" s="8">
        <v>4047.436908</v>
      </c>
      <c r="AC40" s="8">
        <v>4103.306388</v>
      </c>
      <c r="AD40" s="8">
        <v>3406.727376</v>
      </c>
      <c r="AE40" s="8">
        <v>3347.154072</v>
      </c>
      <c r="AF40" s="8">
        <v>5135.872176</v>
      </c>
      <c r="AG40" s="8">
        <v>3655.7055</v>
      </c>
      <c r="AH40" s="8">
        <v>4245.40422</v>
      </c>
      <c r="AI40" s="8">
        <v>4633.847964</v>
      </c>
      <c r="AJ40" s="8">
        <v>3843.643356</v>
      </c>
      <c r="AK40" s="8">
        <v>3485.974644</v>
      </c>
    </row>
    <row r="41">
      <c r="A41" s="7" t="s">
        <v>77</v>
      </c>
      <c r="B41" s="8">
        <v>34.38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35.0676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35.768952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</row>
    <row r="42">
      <c r="A42" s="7" t="s">
        <v>78</v>
      </c>
      <c r="B42" s="8">
        <v>0</v>
      </c>
      <c r="C42" s="8">
        <v>2331.4</v>
      </c>
      <c r="D42" s="8">
        <v>26.32</v>
      </c>
      <c r="E42" s="8">
        <v>371.45</v>
      </c>
      <c r="F42" s="8">
        <v>154.34</v>
      </c>
      <c r="G42" s="8">
        <v>0</v>
      </c>
      <c r="H42" s="8">
        <v>0</v>
      </c>
      <c r="I42" s="8">
        <v>0</v>
      </c>
      <c r="J42" s="8">
        <v>2004</v>
      </c>
      <c r="K42" s="8">
        <v>220.88</v>
      </c>
      <c r="L42" s="8">
        <v>1586.55</v>
      </c>
      <c r="M42" s="8">
        <v>0</v>
      </c>
      <c r="N42" s="8">
        <v>0</v>
      </c>
      <c r="O42" s="8">
        <v>17378.028</v>
      </c>
      <c r="P42" s="8">
        <v>26.8464</v>
      </c>
      <c r="Q42" s="8">
        <v>3378.879</v>
      </c>
      <c r="R42" s="8">
        <v>157.4268</v>
      </c>
      <c r="S42" s="8">
        <v>0</v>
      </c>
      <c r="T42" s="8">
        <v>0</v>
      </c>
      <c r="U42" s="8">
        <v>0</v>
      </c>
      <c r="V42" s="8">
        <v>10044.08</v>
      </c>
      <c r="W42" s="8">
        <v>225.2976</v>
      </c>
      <c r="X42" s="8">
        <v>1618.281</v>
      </c>
      <c r="Y42" s="8">
        <v>0</v>
      </c>
      <c r="Z42" s="8">
        <v>0</v>
      </c>
      <c r="AA42" s="8">
        <v>2425.58856</v>
      </c>
      <c r="AB42" s="8">
        <v>27.383328</v>
      </c>
      <c r="AC42" s="8">
        <v>386.45658</v>
      </c>
      <c r="AD42" s="8">
        <v>160.575336</v>
      </c>
      <c r="AE42" s="8">
        <v>0</v>
      </c>
      <c r="AF42" s="8">
        <v>0</v>
      </c>
      <c r="AG42" s="8">
        <v>0</v>
      </c>
      <c r="AH42" s="8">
        <v>2084.9616</v>
      </c>
      <c r="AI42" s="8">
        <v>229.803552</v>
      </c>
      <c r="AJ42" s="8">
        <v>1650.64662</v>
      </c>
      <c r="AK42" s="8">
        <v>0</v>
      </c>
    </row>
    <row r="43">
      <c r="A43" s="7" t="s">
        <v>79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383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390.66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398.4732</v>
      </c>
      <c r="AI43" s="8">
        <v>0</v>
      </c>
      <c r="AJ43" s="8">
        <v>0</v>
      </c>
      <c r="AK43" s="8">
        <v>0</v>
      </c>
    </row>
    <row r="44">
      <c r="A44" s="7" t="s">
        <v>80</v>
      </c>
      <c r="B44" s="8">
        <v>0</v>
      </c>
      <c r="C44" s="8">
        <v>784</v>
      </c>
      <c r="D44" s="8">
        <v>0</v>
      </c>
      <c r="E44" s="8">
        <v>90.9</v>
      </c>
      <c r="F44" s="8">
        <v>206.8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1583.08</v>
      </c>
      <c r="M44" s="8">
        <v>-220.88</v>
      </c>
      <c r="N44" s="8">
        <v>0</v>
      </c>
      <c r="O44" s="8">
        <v>799.68</v>
      </c>
      <c r="P44" s="8">
        <v>0</v>
      </c>
      <c r="Q44" s="8">
        <v>92.718</v>
      </c>
      <c r="R44" s="8">
        <v>210.936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1614.7416</v>
      </c>
      <c r="Y44" s="8">
        <v>0</v>
      </c>
      <c r="Z44" s="8">
        <v>0</v>
      </c>
      <c r="AA44" s="8">
        <v>815.6736</v>
      </c>
      <c r="AB44" s="8">
        <v>0</v>
      </c>
      <c r="AC44" s="8">
        <v>94.57236</v>
      </c>
      <c r="AD44" s="8">
        <v>215.15472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1647.036432</v>
      </c>
      <c r="AK44" s="8">
        <v>0</v>
      </c>
    </row>
    <row r="45">
      <c r="A45" s="7" t="s">
        <v>81</v>
      </c>
      <c r="B45" s="8">
        <v>0</v>
      </c>
      <c r="C45" s="8">
        <v>0</v>
      </c>
      <c r="D45" s="8">
        <v>0</v>
      </c>
      <c r="E45" s="8">
        <v>103.32</v>
      </c>
      <c r="F45" s="8">
        <v>0</v>
      </c>
      <c r="G45" s="8">
        <v>0</v>
      </c>
      <c r="H45" s="8">
        <v>1000</v>
      </c>
      <c r="I45" s="8">
        <v>0</v>
      </c>
      <c r="J45" s="8">
        <v>58.86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105.3864</v>
      </c>
      <c r="R45" s="8">
        <v>0</v>
      </c>
      <c r="S45" s="8">
        <v>0</v>
      </c>
      <c r="T45" s="8">
        <v>1020</v>
      </c>
      <c r="U45" s="8">
        <v>0</v>
      </c>
      <c r="V45" s="8">
        <v>60.0372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107.494128</v>
      </c>
      <c r="AD45" s="8">
        <v>0</v>
      </c>
      <c r="AE45" s="8">
        <v>0</v>
      </c>
      <c r="AF45" s="8">
        <v>1040.4</v>
      </c>
      <c r="AG45" s="8">
        <v>0</v>
      </c>
      <c r="AH45" s="8">
        <v>61.237944</v>
      </c>
      <c r="AI45" s="8">
        <v>0</v>
      </c>
      <c r="AJ45" s="8">
        <v>0</v>
      </c>
      <c r="AK45" s="8">
        <v>0</v>
      </c>
    </row>
    <row r="46">
      <c r="A46" s="7" t="s">
        <v>82</v>
      </c>
      <c r="B46" s="8">
        <v>50.5</v>
      </c>
      <c r="C46" s="8">
        <v>43.5</v>
      </c>
      <c r="D46" s="8">
        <v>58.26</v>
      </c>
      <c r="E46" s="8">
        <v>46.46</v>
      </c>
      <c r="F46" s="8">
        <v>100.35</v>
      </c>
      <c r="G46" s="8">
        <v>39.97</v>
      </c>
      <c r="H46" s="8">
        <v>0</v>
      </c>
      <c r="I46" s="8">
        <v>32.98</v>
      </c>
      <c r="J46" s="8">
        <v>0</v>
      </c>
      <c r="K46" s="8">
        <v>0</v>
      </c>
      <c r="L46" s="8">
        <v>49.15</v>
      </c>
      <c r="M46" s="8">
        <v>70</v>
      </c>
      <c r="N46" s="8">
        <v>0</v>
      </c>
      <c r="O46" s="8">
        <v>0</v>
      </c>
      <c r="P46" s="8">
        <v>80</v>
      </c>
      <c r="Q46" s="8">
        <v>0</v>
      </c>
      <c r="R46" s="8">
        <v>0</v>
      </c>
      <c r="S46" s="8">
        <v>100</v>
      </c>
      <c r="T46" s="8">
        <v>0</v>
      </c>
      <c r="U46" s="8">
        <v>0</v>
      </c>
      <c r="V46" s="8">
        <v>0</v>
      </c>
      <c r="W46" s="8">
        <v>0</v>
      </c>
      <c r="X46" s="8">
        <v>50.133</v>
      </c>
      <c r="Y46" s="8">
        <v>1000</v>
      </c>
      <c r="Z46" s="8">
        <v>0</v>
      </c>
      <c r="AA46" s="8">
        <v>0</v>
      </c>
      <c r="AB46" s="8">
        <v>81.6</v>
      </c>
      <c r="AC46" s="8">
        <v>0</v>
      </c>
      <c r="AD46" s="8">
        <v>0</v>
      </c>
      <c r="AE46" s="8">
        <v>102</v>
      </c>
      <c r="AF46" s="8">
        <v>0</v>
      </c>
      <c r="AG46" s="8">
        <v>0</v>
      </c>
      <c r="AH46" s="8">
        <v>0</v>
      </c>
      <c r="AI46" s="8">
        <v>0</v>
      </c>
      <c r="AJ46" s="8">
        <v>51.13566</v>
      </c>
      <c r="AK46" s="8">
        <v>1020</v>
      </c>
    </row>
    <row r="47">
      <c r="A47" s="7" t="s">
        <v>83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238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242.76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247.6152</v>
      </c>
      <c r="AJ47" s="8">
        <v>0</v>
      </c>
      <c r="AK47" s="8">
        <v>0</v>
      </c>
    </row>
    <row r="48">
      <c r="A48" s="7" t="s">
        <v>84</v>
      </c>
      <c r="B48" s="8">
        <v>0</v>
      </c>
      <c r="C48" s="8">
        <v>0</v>
      </c>
      <c r="D48" s="8">
        <v>0</v>
      </c>
      <c r="E48" s="8">
        <v>0</v>
      </c>
      <c r="F48" s="8">
        <v>125</v>
      </c>
      <c r="G48" s="8">
        <v>0</v>
      </c>
      <c r="H48" s="8">
        <v>125</v>
      </c>
      <c r="I48" s="8">
        <v>250</v>
      </c>
      <c r="J48" s="8">
        <v>125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127.5</v>
      </c>
      <c r="S48" s="8">
        <v>0</v>
      </c>
      <c r="T48" s="8">
        <v>127.5</v>
      </c>
      <c r="U48" s="8">
        <v>255</v>
      </c>
      <c r="V48" s="8">
        <v>127.5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130.05</v>
      </c>
      <c r="AE48" s="8">
        <v>0</v>
      </c>
      <c r="AF48" s="8">
        <v>130.05</v>
      </c>
      <c r="AG48" s="8">
        <v>260.1</v>
      </c>
      <c r="AH48" s="8">
        <v>130.05</v>
      </c>
      <c r="AI48" s="8">
        <v>0</v>
      </c>
      <c r="AJ48" s="8">
        <v>0</v>
      </c>
      <c r="AK48" s="8">
        <v>0</v>
      </c>
    </row>
    <row r="49">
      <c r="A49" s="7" t="s">
        <v>85</v>
      </c>
      <c r="B49" s="8">
        <v>184.15</v>
      </c>
      <c r="C49" s="8">
        <v>49.99</v>
      </c>
      <c r="D49" s="8">
        <v>763.99</v>
      </c>
      <c r="E49" s="8">
        <v>490.05</v>
      </c>
      <c r="F49" s="8">
        <v>600.58</v>
      </c>
      <c r="G49" s="8">
        <v>469.95</v>
      </c>
      <c r="H49" s="8">
        <v>753.08</v>
      </c>
      <c r="I49" s="8">
        <v>867.73</v>
      </c>
      <c r="J49" s="8">
        <v>0</v>
      </c>
      <c r="K49" s="8">
        <v>639.98</v>
      </c>
      <c r="L49" s="8">
        <v>251.16</v>
      </c>
      <c r="M49" s="8">
        <v>247.21</v>
      </c>
      <c r="N49" s="8">
        <v>2000</v>
      </c>
      <c r="O49" s="8">
        <v>50.9898</v>
      </c>
      <c r="P49" s="8">
        <v>779.2698</v>
      </c>
      <c r="Q49" s="8">
        <v>499.851</v>
      </c>
      <c r="R49" s="8">
        <v>612.5916</v>
      </c>
      <c r="S49" s="8">
        <v>479.349</v>
      </c>
      <c r="T49" s="8">
        <v>768.1416</v>
      </c>
      <c r="U49" s="8">
        <v>885.0846</v>
      </c>
      <c r="V49" s="8">
        <v>0</v>
      </c>
      <c r="W49" s="8">
        <v>652.7796</v>
      </c>
      <c r="X49" s="8">
        <v>256.1832</v>
      </c>
      <c r="Y49" s="8">
        <v>252.1542</v>
      </c>
      <c r="Z49" s="8">
        <v>2040</v>
      </c>
      <c r="AA49" s="8">
        <v>52.009596</v>
      </c>
      <c r="AB49" s="8">
        <v>794.855196</v>
      </c>
      <c r="AC49" s="8">
        <v>509.84802</v>
      </c>
      <c r="AD49" s="8">
        <v>624.843432</v>
      </c>
      <c r="AE49" s="8">
        <v>488.93598</v>
      </c>
      <c r="AF49" s="8">
        <v>783.504432</v>
      </c>
      <c r="AG49" s="8">
        <v>902.786292</v>
      </c>
      <c r="AH49" s="8">
        <v>0</v>
      </c>
      <c r="AI49" s="8">
        <v>665.835192</v>
      </c>
      <c r="AJ49" s="8">
        <v>261.306864</v>
      </c>
      <c r="AK49" s="8">
        <v>257.197284</v>
      </c>
    </row>
    <row r="50">
      <c r="A50" s="7" t="s">
        <v>86</v>
      </c>
      <c r="B50" s="8">
        <v>432.85</v>
      </c>
      <c r="C50" s="8">
        <v>617.94</v>
      </c>
      <c r="D50" s="8">
        <v>0</v>
      </c>
      <c r="E50" s="8">
        <v>0</v>
      </c>
      <c r="F50" s="8">
        <v>86.92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441.507</v>
      </c>
      <c r="O50" s="8">
        <v>630.2988</v>
      </c>
      <c r="P50" s="8">
        <v>0</v>
      </c>
      <c r="Q50" s="8">
        <v>0</v>
      </c>
      <c r="R50" s="8">
        <v>88.6584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450.33714</v>
      </c>
      <c r="AA50" s="8">
        <v>642.904776</v>
      </c>
      <c r="AB50" s="8">
        <v>0</v>
      </c>
      <c r="AC50" s="8">
        <v>0</v>
      </c>
      <c r="AD50" s="8">
        <v>90.431568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</row>
    <row r="51">
      <c r="A51" s="7" t="s">
        <v>87</v>
      </c>
      <c r="B51" s="8">
        <v>-614.4</v>
      </c>
      <c r="C51" s="8">
        <v>4821.6</v>
      </c>
      <c r="D51" s="8">
        <v>3887.22</v>
      </c>
      <c r="E51" s="8">
        <v>1354</v>
      </c>
      <c r="F51" s="8">
        <v>9175.2</v>
      </c>
      <c r="G51" s="8">
        <v>120.54</v>
      </c>
      <c r="H51" s="8">
        <v>2789.96</v>
      </c>
      <c r="I51" s="8">
        <v>1620.54</v>
      </c>
      <c r="J51" s="8">
        <v>731.85</v>
      </c>
      <c r="K51" s="8">
        <v>139.15</v>
      </c>
      <c r="L51" s="8">
        <v>1647.8</v>
      </c>
      <c r="M51" s="8">
        <v>686.28</v>
      </c>
      <c r="N51" s="8">
        <v>0</v>
      </c>
      <c r="O51" s="8">
        <v>3181.6</v>
      </c>
      <c r="P51" s="8">
        <v>2247.22</v>
      </c>
      <c r="Q51" s="8">
        <v>0</v>
      </c>
      <c r="R51" s="8">
        <v>9200</v>
      </c>
      <c r="S51" s="8">
        <v>0</v>
      </c>
      <c r="T51" s="8">
        <v>1149.96</v>
      </c>
      <c r="U51" s="8">
        <v>0</v>
      </c>
      <c r="V51" s="8">
        <v>0</v>
      </c>
      <c r="W51" s="8">
        <v>0</v>
      </c>
      <c r="X51" s="8">
        <v>7.8</v>
      </c>
      <c r="Y51" s="8">
        <v>0</v>
      </c>
      <c r="Z51" s="8">
        <v>0</v>
      </c>
      <c r="AA51" s="8">
        <v>1541.6</v>
      </c>
      <c r="AB51" s="8">
        <v>607.22</v>
      </c>
      <c r="AC51" s="8">
        <v>0</v>
      </c>
      <c r="AD51" s="8">
        <v>7560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</row>
    <row r="52">
      <c r="A52" s="7" t="s">
        <v>88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2.5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2.55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2.601</v>
      </c>
      <c r="AI52" s="8">
        <v>0</v>
      </c>
      <c r="AJ52" s="8">
        <v>0</v>
      </c>
      <c r="AK52" s="8">
        <v>0</v>
      </c>
    </row>
    <row r="53">
      <c r="A53" s="7" t="s">
        <v>89</v>
      </c>
      <c r="B53" s="8">
        <v>235</v>
      </c>
      <c r="C53" s="8">
        <v>235</v>
      </c>
      <c r="D53" s="8">
        <v>471.83</v>
      </c>
      <c r="E53" s="8">
        <v>471.81</v>
      </c>
      <c r="F53" s="8">
        <v>471.81</v>
      </c>
      <c r="G53" s="8">
        <v>471.81</v>
      </c>
      <c r="H53" s="8">
        <v>471.81</v>
      </c>
      <c r="I53" s="8">
        <v>236.81</v>
      </c>
      <c r="J53" s="8">
        <v>236.81</v>
      </c>
      <c r="K53" s="8">
        <v>236.81</v>
      </c>
      <c r="L53" s="8">
        <v>0</v>
      </c>
      <c r="M53" s="8">
        <v>273</v>
      </c>
      <c r="N53" s="8">
        <v>235</v>
      </c>
      <c r="O53" s="8">
        <v>235</v>
      </c>
      <c r="P53" s="8">
        <v>471.83</v>
      </c>
      <c r="Q53" s="8">
        <v>471.81</v>
      </c>
      <c r="R53" s="8">
        <v>471.81</v>
      </c>
      <c r="S53" s="8">
        <v>471.81</v>
      </c>
      <c r="T53" s="8">
        <v>471.81</v>
      </c>
      <c r="U53" s="8">
        <v>236.81</v>
      </c>
      <c r="V53" s="8">
        <v>236.81</v>
      </c>
      <c r="W53" s="8">
        <v>236.81</v>
      </c>
      <c r="X53" s="8">
        <v>0</v>
      </c>
      <c r="Y53" s="8">
        <v>273</v>
      </c>
      <c r="Z53" s="8">
        <v>235</v>
      </c>
      <c r="AA53" s="8">
        <v>235</v>
      </c>
      <c r="AB53" s="8">
        <v>471.83</v>
      </c>
      <c r="AC53" s="8">
        <v>471.81</v>
      </c>
      <c r="AD53" s="8">
        <v>471.81</v>
      </c>
      <c r="AE53" s="8">
        <v>471.81</v>
      </c>
      <c r="AF53" s="8">
        <v>471.81</v>
      </c>
      <c r="AG53" s="8">
        <v>236.81</v>
      </c>
      <c r="AH53" s="8">
        <v>236.81</v>
      </c>
      <c r="AI53" s="8">
        <v>236.81</v>
      </c>
      <c r="AJ53" s="8">
        <v>0</v>
      </c>
      <c r="AK53" s="8">
        <v>273</v>
      </c>
    </row>
    <row r="54">
      <c r="A54" s="7" t="s">
        <v>90</v>
      </c>
      <c r="B54" s="8">
        <v>0</v>
      </c>
      <c r="C54" s="8">
        <v>0</v>
      </c>
      <c r="D54" s="8">
        <v>0</v>
      </c>
      <c r="E54" s="8">
        <v>9.33</v>
      </c>
      <c r="F54" s="8">
        <v>165.83</v>
      </c>
      <c r="G54" s="8">
        <v>20.12</v>
      </c>
      <c r="H54" s="8">
        <v>20.16</v>
      </c>
      <c r="I54" s="8">
        <v>19.87</v>
      </c>
      <c r="J54" s="8">
        <v>9.5</v>
      </c>
      <c r="K54" s="8">
        <v>20.35</v>
      </c>
      <c r="L54" s="8">
        <v>20.45</v>
      </c>
      <c r="M54" s="8">
        <v>20.55</v>
      </c>
      <c r="N54" s="8">
        <v>0</v>
      </c>
      <c r="O54" s="8">
        <v>0</v>
      </c>
      <c r="P54" s="8">
        <v>0</v>
      </c>
      <c r="Q54" s="8">
        <v>9.5166</v>
      </c>
      <c r="R54" s="8">
        <v>169.1466</v>
      </c>
      <c r="S54" s="8">
        <v>20.5224</v>
      </c>
      <c r="T54" s="8">
        <v>20.5632</v>
      </c>
      <c r="U54" s="8">
        <v>20.2674</v>
      </c>
      <c r="V54" s="8">
        <v>9.69</v>
      </c>
      <c r="W54" s="8">
        <v>20.757</v>
      </c>
      <c r="X54" s="8">
        <v>20.859</v>
      </c>
      <c r="Y54" s="8">
        <v>20.961</v>
      </c>
      <c r="Z54" s="8">
        <v>0</v>
      </c>
      <c r="AA54" s="8">
        <v>0</v>
      </c>
      <c r="AB54" s="8">
        <v>0</v>
      </c>
      <c r="AC54" s="8">
        <v>9.706932</v>
      </c>
      <c r="AD54" s="8">
        <v>172.529532</v>
      </c>
      <c r="AE54" s="8">
        <v>20.932848</v>
      </c>
      <c r="AF54" s="8">
        <v>20.974464</v>
      </c>
      <c r="AG54" s="8">
        <v>20.672748</v>
      </c>
      <c r="AH54" s="8">
        <v>9.8838</v>
      </c>
      <c r="AI54" s="8">
        <v>21.17214</v>
      </c>
      <c r="AJ54" s="8">
        <v>21.27618</v>
      </c>
      <c r="AK54" s="8">
        <v>21.38022</v>
      </c>
    </row>
    <row r="55">
      <c r="A55" s="7" t="s">
        <v>91</v>
      </c>
      <c r="B55" s="8">
        <v>1980</v>
      </c>
      <c r="C55" s="8">
        <v>520</v>
      </c>
      <c r="D55" s="8">
        <v>0</v>
      </c>
      <c r="E55" s="8">
        <v>8</v>
      </c>
      <c r="F55" s="8">
        <v>0</v>
      </c>
      <c r="G55" s="8">
        <v>0</v>
      </c>
      <c r="H55" s="8">
        <v>26</v>
      </c>
      <c r="I55" s="8">
        <v>0</v>
      </c>
      <c r="J55" s="8">
        <v>50</v>
      </c>
      <c r="K55" s="8">
        <v>0</v>
      </c>
      <c r="L55" s="8">
        <v>0</v>
      </c>
      <c r="M55" s="8">
        <v>0</v>
      </c>
      <c r="N55" s="8">
        <v>1980</v>
      </c>
      <c r="O55" s="8">
        <v>0</v>
      </c>
      <c r="P55" s="8">
        <v>0</v>
      </c>
      <c r="Q55" s="8">
        <v>8.16</v>
      </c>
      <c r="R55" s="8">
        <v>0</v>
      </c>
      <c r="S55" s="8">
        <v>0</v>
      </c>
      <c r="T55" s="8">
        <v>26.52</v>
      </c>
      <c r="U55" s="8">
        <v>0</v>
      </c>
      <c r="V55" s="8">
        <v>51</v>
      </c>
      <c r="W55" s="8">
        <v>0</v>
      </c>
      <c r="X55" s="8">
        <v>0</v>
      </c>
      <c r="Y55" s="8">
        <v>0</v>
      </c>
      <c r="Z55" s="8">
        <v>1980</v>
      </c>
      <c r="AA55" s="8">
        <v>0</v>
      </c>
      <c r="AB55" s="8">
        <v>0</v>
      </c>
      <c r="AC55" s="8">
        <v>8.3232</v>
      </c>
      <c r="AD55" s="8">
        <v>0</v>
      </c>
      <c r="AE55" s="8">
        <v>0</v>
      </c>
      <c r="AF55" s="8">
        <v>27.0504</v>
      </c>
      <c r="AG55" s="8">
        <v>0</v>
      </c>
      <c r="AH55" s="8">
        <v>52.02</v>
      </c>
      <c r="AI55" s="8">
        <v>0</v>
      </c>
      <c r="AJ55" s="8">
        <v>0</v>
      </c>
      <c r="AK55" s="8">
        <v>0</v>
      </c>
    </row>
    <row r="56">
      <c r="A56" s="7" t="s">
        <v>92</v>
      </c>
      <c r="B56" s="8">
        <v>0</v>
      </c>
      <c r="C56" s="8">
        <v>0</v>
      </c>
      <c r="D56" s="8">
        <v>17.59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17.9418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18.300636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</row>
    <row r="57">
      <c r="A57" s="7" t="s">
        <v>93</v>
      </c>
      <c r="B57" s="8">
        <v>0</v>
      </c>
      <c r="C57" s="8">
        <v>0</v>
      </c>
      <c r="D57" s="8">
        <v>118.73</v>
      </c>
      <c r="E57" s="8">
        <v>36.69</v>
      </c>
      <c r="F57" s="8">
        <v>15.5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121.1046</v>
      </c>
      <c r="Q57" s="8">
        <v>37.4238</v>
      </c>
      <c r="R57" s="8">
        <v>15.81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123.526692</v>
      </c>
      <c r="AC57" s="8">
        <v>38.172276</v>
      </c>
      <c r="AD57" s="8">
        <v>16.1262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</row>
    <row r="58">
      <c r="A58" s="7" t="s">
        <v>94</v>
      </c>
      <c r="B58" s="8">
        <v>104.84</v>
      </c>
      <c r="C58" s="8">
        <v>38.08</v>
      </c>
      <c r="D58" s="8">
        <v>74.47</v>
      </c>
      <c r="E58" s="8">
        <v>50.37</v>
      </c>
      <c r="F58" s="8">
        <v>50.66</v>
      </c>
      <c r="G58" s="8">
        <v>111.35</v>
      </c>
      <c r="H58" s="8">
        <v>67.79</v>
      </c>
      <c r="I58" s="8">
        <v>42.22</v>
      </c>
      <c r="J58" s="8">
        <v>176.72</v>
      </c>
      <c r="K58" s="8">
        <v>35.69</v>
      </c>
      <c r="L58" s="8">
        <v>82.83</v>
      </c>
      <c r="M58" s="8">
        <v>85.77</v>
      </c>
      <c r="N58" s="8">
        <v>106.9368</v>
      </c>
      <c r="O58" s="8">
        <v>38.8416</v>
      </c>
      <c r="P58" s="8">
        <v>75.9594</v>
      </c>
      <c r="Q58" s="8">
        <v>51.3774</v>
      </c>
      <c r="R58" s="8">
        <v>51.6732</v>
      </c>
      <c r="S58" s="8">
        <v>113.577</v>
      </c>
      <c r="T58" s="8">
        <v>69.1458</v>
      </c>
      <c r="U58" s="8">
        <v>43.0644</v>
      </c>
      <c r="V58" s="8">
        <v>180.2544</v>
      </c>
      <c r="W58" s="8">
        <v>36.4038</v>
      </c>
      <c r="X58" s="8">
        <v>84.4866</v>
      </c>
      <c r="Y58" s="8">
        <v>87.4854</v>
      </c>
      <c r="Z58" s="8">
        <v>109.075536</v>
      </c>
      <c r="AA58" s="8">
        <v>39.618432</v>
      </c>
      <c r="AB58" s="8">
        <v>77.478588</v>
      </c>
      <c r="AC58" s="8">
        <v>52.404948</v>
      </c>
      <c r="AD58" s="8">
        <v>52.706664</v>
      </c>
      <c r="AE58" s="8">
        <v>115.84854</v>
      </c>
      <c r="AF58" s="8">
        <v>70.528716</v>
      </c>
      <c r="AG58" s="8">
        <v>43.925688</v>
      </c>
      <c r="AH58" s="8">
        <v>183.859488</v>
      </c>
      <c r="AI58" s="8">
        <v>37.131876</v>
      </c>
      <c r="AJ58" s="8">
        <v>86.176332</v>
      </c>
      <c r="AK58" s="8">
        <v>89.235108</v>
      </c>
    </row>
    <row r="59">
      <c r="A59" s="7" t="s">
        <v>95</v>
      </c>
      <c r="B59" s="8">
        <v>1398</v>
      </c>
      <c r="C59" s="8">
        <v>981.71</v>
      </c>
      <c r="D59" s="8">
        <v>526</v>
      </c>
      <c r="E59" s="8">
        <v>940</v>
      </c>
      <c r="F59" s="8">
        <v>1417</v>
      </c>
      <c r="G59" s="8">
        <v>2245.74</v>
      </c>
      <c r="H59" s="8">
        <v>1369</v>
      </c>
      <c r="I59" s="8">
        <v>978</v>
      </c>
      <c r="J59" s="8">
        <v>1369</v>
      </c>
      <c r="K59" s="8">
        <v>1279</v>
      </c>
      <c r="L59" s="8">
        <v>964</v>
      </c>
      <c r="M59" s="8">
        <v>891</v>
      </c>
      <c r="N59" s="8">
        <v>1425.96</v>
      </c>
      <c r="O59" s="8">
        <v>1001.3442</v>
      </c>
      <c r="P59" s="8">
        <v>1000</v>
      </c>
      <c r="Q59" s="8">
        <v>1000</v>
      </c>
      <c r="R59" s="8">
        <v>1445.34</v>
      </c>
      <c r="S59" s="8">
        <v>2290.6548</v>
      </c>
      <c r="T59" s="8">
        <v>1396.38</v>
      </c>
      <c r="U59" s="8">
        <v>997.56</v>
      </c>
      <c r="V59" s="8">
        <v>1396.38</v>
      </c>
      <c r="W59" s="8">
        <v>1304.58</v>
      </c>
      <c r="X59" s="8">
        <v>983.28</v>
      </c>
      <c r="Y59" s="8">
        <v>908.82</v>
      </c>
      <c r="Z59" s="8">
        <v>1454.4792</v>
      </c>
      <c r="AA59" s="8">
        <v>1021.371084</v>
      </c>
      <c r="AB59" s="8">
        <v>1020</v>
      </c>
      <c r="AC59" s="8">
        <v>1020</v>
      </c>
      <c r="AD59" s="8">
        <v>1474.2468</v>
      </c>
      <c r="AE59" s="8">
        <v>2336.467896</v>
      </c>
      <c r="AF59" s="8">
        <v>1424.3076</v>
      </c>
      <c r="AG59" s="8">
        <v>1017.5112</v>
      </c>
      <c r="AH59" s="8">
        <v>1424.3076</v>
      </c>
      <c r="AI59" s="8">
        <v>1330.6716</v>
      </c>
      <c r="AJ59" s="8">
        <v>1002.9456</v>
      </c>
      <c r="AK59" s="8">
        <v>926.9964</v>
      </c>
    </row>
    <row r="60">
      <c r="A60" s="7" t="s">
        <v>96</v>
      </c>
      <c r="B60" s="8">
        <v>0</v>
      </c>
      <c r="C60" s="8">
        <v>170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220</v>
      </c>
      <c r="O60" s="8">
        <v>220</v>
      </c>
      <c r="P60" s="8">
        <v>220</v>
      </c>
      <c r="Q60" s="8">
        <v>220</v>
      </c>
      <c r="R60" s="8">
        <v>220</v>
      </c>
      <c r="S60" s="8">
        <v>220</v>
      </c>
      <c r="T60" s="8">
        <v>220</v>
      </c>
      <c r="U60" s="8">
        <v>220</v>
      </c>
      <c r="V60" s="8">
        <v>220</v>
      </c>
      <c r="W60" s="8">
        <v>220</v>
      </c>
      <c r="X60" s="8">
        <v>220</v>
      </c>
      <c r="Y60" s="8">
        <v>220</v>
      </c>
      <c r="Z60" s="8">
        <v>220</v>
      </c>
      <c r="AA60" s="8">
        <v>220</v>
      </c>
      <c r="AB60" s="8">
        <v>220</v>
      </c>
      <c r="AC60" s="8">
        <v>220</v>
      </c>
      <c r="AD60" s="8">
        <v>220</v>
      </c>
      <c r="AE60" s="8">
        <v>220</v>
      </c>
      <c r="AF60" s="8">
        <v>220</v>
      </c>
      <c r="AG60" s="8">
        <v>220.00000000000003</v>
      </c>
      <c r="AH60" s="8">
        <v>220</v>
      </c>
      <c r="AI60" s="8">
        <v>219.99999999999997</v>
      </c>
      <c r="AJ60" s="8">
        <v>219.99999999999997</v>
      </c>
      <c r="AK60" s="8">
        <v>219.99999999999997</v>
      </c>
    </row>
    <row r="61">
      <c r="A61" s="7" t="s">
        <v>97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595.66</v>
      </c>
      <c r="K61" s="8">
        <v>0</v>
      </c>
      <c r="L61" s="8">
        <v>0</v>
      </c>
      <c r="M61" s="8">
        <v>0</v>
      </c>
      <c r="N61" s="8">
        <v>0</v>
      </c>
      <c r="O61" s="8">
        <v>5000</v>
      </c>
      <c r="P61" s="8">
        <v>5000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607.5732</v>
      </c>
      <c r="W61" s="8">
        <v>0</v>
      </c>
      <c r="X61" s="8">
        <v>0</v>
      </c>
      <c r="Y61" s="8">
        <v>0</v>
      </c>
      <c r="Z61" s="8">
        <v>0</v>
      </c>
      <c r="AA61" s="8">
        <v>5100</v>
      </c>
      <c r="AB61" s="8">
        <v>5100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619.724664</v>
      </c>
      <c r="AI61" s="8">
        <v>0</v>
      </c>
      <c r="AJ61" s="8">
        <v>0</v>
      </c>
      <c r="AK61" s="8">
        <v>0</v>
      </c>
    </row>
    <row r="62">
      <c r="A62" s="7" t="s">
        <v>98</v>
      </c>
      <c r="B62" s="8">
        <v>178</v>
      </c>
      <c r="C62" s="8">
        <v>178</v>
      </c>
      <c r="D62" s="8">
        <v>178</v>
      </c>
      <c r="E62" s="8">
        <v>178</v>
      </c>
      <c r="F62" s="8">
        <v>178</v>
      </c>
      <c r="G62" s="8">
        <v>178</v>
      </c>
      <c r="H62" s="8">
        <v>178</v>
      </c>
      <c r="I62" s="8">
        <v>178</v>
      </c>
      <c r="J62" s="8">
        <v>178</v>
      </c>
      <c r="K62" s="8">
        <v>178</v>
      </c>
      <c r="L62" s="8">
        <v>178</v>
      </c>
      <c r="M62" s="8">
        <v>178</v>
      </c>
      <c r="N62" s="8">
        <v>181.56</v>
      </c>
      <c r="O62" s="8">
        <v>181.56</v>
      </c>
      <c r="P62" s="8">
        <v>181.56</v>
      </c>
      <c r="Q62" s="8">
        <v>181.56</v>
      </c>
      <c r="R62" s="8">
        <v>181.56</v>
      </c>
      <c r="S62" s="8">
        <v>181.56</v>
      </c>
      <c r="T62" s="8">
        <v>181.56</v>
      </c>
      <c r="U62" s="8">
        <v>181.56</v>
      </c>
      <c r="V62" s="8">
        <v>181.56</v>
      </c>
      <c r="W62" s="8">
        <v>181.56</v>
      </c>
      <c r="X62" s="8">
        <v>181.56</v>
      </c>
      <c r="Y62" s="8">
        <v>181.56</v>
      </c>
      <c r="Z62" s="8">
        <v>185.1912</v>
      </c>
      <c r="AA62" s="8">
        <v>185.1912</v>
      </c>
      <c r="AB62" s="8">
        <v>185.1912</v>
      </c>
      <c r="AC62" s="8">
        <v>185.1912</v>
      </c>
      <c r="AD62" s="8">
        <v>185.1912</v>
      </c>
      <c r="AE62" s="8">
        <v>185.1912</v>
      </c>
      <c r="AF62" s="8">
        <v>185.1912</v>
      </c>
      <c r="AG62" s="8">
        <v>185.1912</v>
      </c>
      <c r="AH62" s="8">
        <v>185.1912</v>
      </c>
      <c r="AI62" s="8">
        <v>185.1912</v>
      </c>
      <c r="AJ62" s="8">
        <v>185.1912</v>
      </c>
      <c r="AK62" s="8">
        <v>185.1912</v>
      </c>
    </row>
    <row r="63">
      <c r="A63" s="7" t="s">
        <v>99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1400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1400</v>
      </c>
      <c r="AH63" s="8">
        <v>0</v>
      </c>
      <c r="AI63" s="8">
        <v>0</v>
      </c>
      <c r="AJ63" s="8">
        <v>0</v>
      </c>
      <c r="AK63" s="8">
        <v>0</v>
      </c>
    </row>
    <row r="64">
      <c r="A64" s="5" t="s">
        <v>100</v>
      </c>
      <c r="B64" s="6">
        <f>SUM(B24:B63)</f>
      </c>
      <c r="C64" s="6">
        <f>SUM(C24:C63)</f>
      </c>
      <c r="D64" s="6">
        <f>SUM(D24:D63)</f>
      </c>
      <c r="E64" s="6">
        <f>SUM(E24:E63)</f>
      </c>
      <c r="F64" s="6">
        <f>SUM(F24:F63)</f>
      </c>
      <c r="G64" s="6">
        <f>SUM(G24:G63)</f>
      </c>
      <c r="H64" s="6">
        <f>SUM(H24:H63)</f>
      </c>
      <c r="I64" s="6">
        <f>SUM(I24:I63)</f>
      </c>
      <c r="J64" s="6">
        <f>SUM(J24:J63)</f>
      </c>
      <c r="K64" s="6">
        <f>SUM(K24:K63)</f>
      </c>
      <c r="L64" s="6">
        <f>SUM(L24:L63)</f>
      </c>
      <c r="M64" s="6">
        <f>SUM(M24:M63)</f>
      </c>
      <c r="N64" s="6">
        <f>SUM(N24:N63)</f>
      </c>
      <c r="O64" s="6">
        <f>SUM(O24:O63)</f>
      </c>
      <c r="P64" s="6">
        <f>SUM(P24:P63)</f>
      </c>
      <c r="Q64" s="6">
        <f>SUM(Q24:Q63)</f>
      </c>
      <c r="R64" s="6">
        <f>SUM(R24:R63)</f>
      </c>
      <c r="S64" s="6">
        <f>SUM(S24:S63)</f>
      </c>
      <c r="T64" s="6">
        <f>SUM(T24:T63)</f>
      </c>
      <c r="U64" s="6">
        <f>SUM(U24:U63)</f>
      </c>
      <c r="V64" s="6">
        <f>SUM(V24:V63)</f>
      </c>
      <c r="W64" s="6">
        <f>SUM(W24:W63)</f>
      </c>
      <c r="X64" s="6">
        <f>SUM(X24:X63)</f>
      </c>
      <c r="Y64" s="6">
        <f>SUM(Y24:Y63)</f>
      </c>
      <c r="Z64" s="6">
        <f>SUM(Z24:Z63)</f>
      </c>
      <c r="AA64" s="6">
        <f>SUM(AA24:AA63)</f>
      </c>
      <c r="AB64" s="6">
        <f>SUM(AB24:AB63)</f>
      </c>
      <c r="AC64" s="6">
        <f>SUM(AC24:AC63)</f>
      </c>
      <c r="AD64" s="6">
        <f>SUM(AD24:AD63)</f>
      </c>
      <c r="AE64" s="6">
        <f>SUM(AE24:AE63)</f>
      </c>
      <c r="AF64" s="6">
        <f>SUM(AF24:AF63)</f>
      </c>
      <c r="AG64" s="6">
        <f>SUM(AG24:AG63)</f>
      </c>
      <c r="AH64" s="6">
        <f>SUM(AH24:AH63)</f>
      </c>
      <c r="AI64" s="6">
        <f>SUM(AI24:AI63)</f>
      </c>
      <c r="AJ64" s="6">
        <f>SUM(AJ24:AJ63)</f>
      </c>
      <c r="AK64" s="6">
        <f>SUM(AK24:AK63)</f>
      </c>
    </row>
    <row r="65">
      <c r="A65" s="5" t="s">
        <v>101</v>
      </c>
      <c r="B65" s="6">
        <f>B22-B64</f>
      </c>
      <c r="C65" s="6">
        <f>C22-C64</f>
      </c>
      <c r="D65" s="6">
        <f>D22-D64</f>
      </c>
      <c r="E65" s="6">
        <f>E22-E64</f>
      </c>
      <c r="F65" s="6">
        <f>F22-F64</f>
      </c>
      <c r="G65" s="6">
        <f>G22-G64</f>
      </c>
      <c r="H65" s="6">
        <f>H22-H64</f>
      </c>
      <c r="I65" s="6">
        <f>I22-I64</f>
      </c>
      <c r="J65" s="6">
        <f>J22-J64</f>
      </c>
      <c r="K65" s="6">
        <f>K22-K64</f>
      </c>
      <c r="L65" s="6">
        <f>L22-L64</f>
      </c>
      <c r="M65" s="6">
        <f>M22-M64</f>
      </c>
      <c r="N65" s="6">
        <f>N22-N64</f>
      </c>
      <c r="O65" s="6">
        <f>O22-O64</f>
      </c>
      <c r="P65" s="6">
        <f>P22-P64</f>
      </c>
      <c r="Q65" s="6">
        <f>Q22-Q64</f>
      </c>
      <c r="R65" s="6">
        <f>R22-R64</f>
      </c>
      <c r="S65" s="6">
        <f>S22-S64</f>
      </c>
      <c r="T65" s="6">
        <f>T22-T64</f>
      </c>
      <c r="U65" s="6">
        <f>U22-U64</f>
      </c>
      <c r="V65" s="6">
        <f>V22-V64</f>
      </c>
      <c r="W65" s="6">
        <f>W22-W64</f>
      </c>
      <c r="X65" s="6">
        <f>X22-X64</f>
      </c>
      <c r="Y65" s="6">
        <f>Y22-Y64</f>
      </c>
      <c r="Z65" s="6">
        <f>Z22-Z64</f>
      </c>
      <c r="AA65" s="6">
        <f>AA22-AA64</f>
      </c>
      <c r="AB65" s="6">
        <f>AB22-AB64</f>
      </c>
      <c r="AC65" s="6">
        <f>AC22-AC64</f>
      </c>
      <c r="AD65" s="6">
        <f>AD22-AD64</f>
      </c>
      <c r="AE65" s="6">
        <f>AE22-AE64</f>
      </c>
      <c r="AF65" s="6">
        <f>AF22-AF64</f>
      </c>
      <c r="AG65" s="6">
        <f>AG22-AG64</f>
      </c>
      <c r="AH65" s="6">
        <f>AH22-AH64</f>
      </c>
      <c r="AI65" s="6">
        <f>AI22-AI64</f>
      </c>
      <c r="AJ65" s="6">
        <f>AJ22-AJ64</f>
      </c>
      <c r="AK65" s="6">
        <f>AK22-AK64</f>
      </c>
    </row>
    <row r="66">
      <c r="A66" s="5" t="s">
        <v>102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7" t="s">
        <v>103</v>
      </c>
      <c r="B67" s="8">
        <v>0</v>
      </c>
      <c r="C67" s="8">
        <v>50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</row>
    <row r="68">
      <c r="A68" s="5" t="s">
        <v>104</v>
      </c>
      <c r="B68" s="6">
        <f>B65+SUM(B67)</f>
      </c>
      <c r="C68" s="6">
        <f>C65+SUM(C67)</f>
      </c>
      <c r="D68" s="6">
        <f>D65+SUM(D67)</f>
      </c>
      <c r="E68" s="6">
        <f>E65+SUM(E67)</f>
      </c>
      <c r="F68" s="6">
        <f>F65+SUM(F67)</f>
      </c>
      <c r="G68" s="6">
        <f>G65+SUM(G67)</f>
      </c>
      <c r="H68" s="6">
        <f>H65+SUM(H67)</f>
      </c>
      <c r="I68" s="6">
        <f>I65+SUM(I67)</f>
      </c>
      <c r="J68" s="6">
        <f>J65+SUM(J67)</f>
      </c>
      <c r="K68" s="6">
        <f>K65+SUM(K67)</f>
      </c>
      <c r="L68" s="6">
        <f>L65+SUM(L67)</f>
      </c>
      <c r="M68" s="6">
        <f>M65+SUM(M67)</f>
      </c>
      <c r="N68" s="6">
        <f>N65+SUM(N67)</f>
      </c>
      <c r="O68" s="6">
        <f>O65+SUM(O67)</f>
      </c>
      <c r="P68" s="6">
        <f>P65+SUM(P67)</f>
      </c>
      <c r="Q68" s="6">
        <f>Q65+SUM(Q67)</f>
      </c>
      <c r="R68" s="6">
        <f>R65+SUM(R67)</f>
      </c>
      <c r="S68" s="6">
        <f>S65+SUM(S67)</f>
      </c>
      <c r="T68" s="6">
        <f>T65+SUM(T67)</f>
      </c>
      <c r="U68" s="6">
        <f>U65+SUM(U67)</f>
      </c>
      <c r="V68" s="6">
        <f>V65+SUM(V67)</f>
      </c>
      <c r="W68" s="6">
        <f>W65+SUM(W67)</f>
      </c>
      <c r="X68" s="6">
        <f>X65+SUM(X67)</f>
      </c>
      <c r="Y68" s="6">
        <f>Y65+SUM(Y67)</f>
      </c>
      <c r="Z68" s="6">
        <f>Z65+SUM(Z67)</f>
      </c>
      <c r="AA68" s="6">
        <f>AA65+SUM(AA67)</f>
      </c>
      <c r="AB68" s="6">
        <f>AB65+SUM(AB67)</f>
      </c>
      <c r="AC68" s="6">
        <f>AC65+SUM(AC67)</f>
      </c>
      <c r="AD68" s="6">
        <f>AD65+SUM(AD67)</f>
      </c>
      <c r="AE68" s="6">
        <f>AE65+SUM(AE67)</f>
      </c>
      <c r="AF68" s="6">
        <f>AF65+SUM(AF67)</f>
      </c>
      <c r="AG68" s="6">
        <f>AG65+SUM(AG67)</f>
      </c>
      <c r="AH68" s="6">
        <f>AH65+SUM(AH67)</f>
      </c>
      <c r="AI68" s="6">
        <f>AI65+SUM(AI67)</f>
      </c>
      <c r="AJ68" s="6">
        <f>AJ65+SUM(AJ67)</f>
      </c>
      <c r="AK68" s="6">
        <f>AK65+SUM(AK67)</f>
      </c>
    </row>
    <row r="69">
      <c r="A69" s="5" t="s">
        <v>105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7" t="s">
        <v>106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250</v>
      </c>
      <c r="P70" s="8">
        <v>246.55301285109408</v>
      </c>
      <c r="Q70" s="8">
        <v>243.08448203250751</v>
      </c>
      <c r="R70" s="8">
        <v>239.5942728963048</v>
      </c>
      <c r="S70" s="8">
        <v>236.0822499530008</v>
      </c>
      <c r="T70" s="8">
        <v>232.54827686630114</v>
      </c>
      <c r="U70" s="8">
        <v>228.99221644780965</v>
      </c>
      <c r="V70" s="8">
        <v>225.41393065170257</v>
      </c>
      <c r="W70" s="8">
        <v>221.81328056936979</v>
      </c>
      <c r="X70" s="8">
        <v>218.19012642402242</v>
      </c>
      <c r="Y70" s="8">
        <v>214.54432756526671</v>
      </c>
      <c r="Z70" s="8">
        <v>210.87574246364372</v>
      </c>
      <c r="AA70" s="8">
        <v>207.18422870513558</v>
      </c>
      <c r="AB70" s="8">
        <v>203.4696429856368</v>
      </c>
      <c r="AC70" s="8">
        <v>199.73184110539111</v>
      </c>
      <c r="AD70" s="8">
        <v>195.97067796339388</v>
      </c>
      <c r="AE70" s="8">
        <v>192.18600755175922</v>
      </c>
      <c r="AF70" s="8">
        <v>188.37768295005179</v>
      </c>
      <c r="AG70" s="8">
        <v>184.54555631958374</v>
      </c>
      <c r="AH70" s="8">
        <v>180.68947889767523</v>
      </c>
      <c r="AI70" s="8">
        <v>176.80930099187978</v>
      </c>
      <c r="AJ70" s="8">
        <v>172.90487197417315</v>
      </c>
      <c r="AK70" s="8">
        <v>168.97604027510585</v>
      </c>
    </row>
    <row r="71">
      <c r="A71" s="5" t="s">
        <v>107</v>
      </c>
      <c r="B71" s="6">
        <f>B68-SUM(B70)</f>
      </c>
      <c r="C71" s="6">
        <f>C68-SUM(C70)</f>
      </c>
      <c r="D71" s="6">
        <f>D68-SUM(D70)</f>
      </c>
      <c r="E71" s="6">
        <f>E68-SUM(E70)</f>
      </c>
      <c r="F71" s="6">
        <f>F68-SUM(F70)</f>
      </c>
      <c r="G71" s="6">
        <f>G68-SUM(G70)</f>
      </c>
      <c r="H71" s="6">
        <f>H68-SUM(H70)</f>
      </c>
      <c r="I71" s="6">
        <f>I68-SUM(I70)</f>
      </c>
      <c r="J71" s="6">
        <f>J68-SUM(J70)</f>
      </c>
      <c r="K71" s="6">
        <f>K68-SUM(K70)</f>
      </c>
      <c r="L71" s="6">
        <f>L68-SUM(L70)</f>
      </c>
      <c r="M71" s="6">
        <f>M68-SUM(M70)</f>
      </c>
      <c r="N71" s="6">
        <f>N68-SUM(N70)</f>
      </c>
      <c r="O71" s="6">
        <f>O68-SUM(O70)</f>
      </c>
      <c r="P71" s="6">
        <f>P68-SUM(P70)</f>
      </c>
      <c r="Q71" s="6">
        <f>Q68-SUM(Q70)</f>
      </c>
      <c r="R71" s="6">
        <f>R68-SUM(R70)</f>
      </c>
      <c r="S71" s="6">
        <f>S68-SUM(S70)</f>
      </c>
      <c r="T71" s="6">
        <f>T68-SUM(T70)</f>
      </c>
      <c r="U71" s="6">
        <f>U68-SUM(U70)</f>
      </c>
      <c r="V71" s="6">
        <f>V68-SUM(V70)</f>
      </c>
      <c r="W71" s="6">
        <f>W68-SUM(W70)</f>
      </c>
      <c r="X71" s="6">
        <f>X68-SUM(X70)</f>
      </c>
      <c r="Y71" s="6">
        <f>Y68-SUM(Y70)</f>
      </c>
      <c r="Z71" s="6">
        <f>Z68-SUM(Z70)</f>
      </c>
      <c r="AA71" s="6">
        <f>AA68-SUM(AA70)</f>
      </c>
      <c r="AB71" s="6">
        <f>AB68-SUM(AB70)</f>
      </c>
      <c r="AC71" s="6">
        <f>AC68-SUM(AC70)</f>
      </c>
      <c r="AD71" s="6">
        <f>AD68-SUM(AD70)</f>
      </c>
      <c r="AE71" s="6">
        <f>AE68-SUM(AE70)</f>
      </c>
      <c r="AF71" s="6">
        <f>AF68-SUM(AF70)</f>
      </c>
      <c r="AG71" s="6">
        <f>AG68-SUM(AG70)</f>
      </c>
      <c r="AH71" s="6">
        <f>AH68-SUM(AH70)</f>
      </c>
      <c r="AI71" s="6">
        <f>AI68-SUM(AI70)</f>
      </c>
      <c r="AJ71" s="6">
        <f>AJ68-SUM(AJ70)</f>
      </c>
      <c r="AK71" s="6">
        <f>AK68-SUM(AK70)</f>
      </c>
    </row>
    <row r="72">
      <c r="A72" s="5" t="s">
        <v>108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7" t="s">
        <v>109</v>
      </c>
      <c r="B73" s="8">
        <v>764</v>
      </c>
      <c r="C73" s="8">
        <v>0</v>
      </c>
      <c r="D73" s="8">
        <v>0</v>
      </c>
      <c r="E73" s="8">
        <v>746.02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764</v>
      </c>
      <c r="O73" s="8">
        <v>0</v>
      </c>
      <c r="P73" s="8">
        <v>0</v>
      </c>
      <c r="Q73" s="8">
        <v>746.02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9000</v>
      </c>
      <c r="Z73" s="8">
        <v>764</v>
      </c>
      <c r="AA73" s="8">
        <v>0</v>
      </c>
      <c r="AB73" s="8">
        <v>0</v>
      </c>
      <c r="AC73" s="8">
        <v>746.02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9000</v>
      </c>
    </row>
    <row r="74">
      <c r="A74" s="7" t="s">
        <v>110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15000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15000</v>
      </c>
      <c r="AI74" s="8">
        <v>0</v>
      </c>
      <c r="AJ74" s="8">
        <v>0</v>
      </c>
      <c r="AK74" s="8">
        <v>0</v>
      </c>
    </row>
    <row r="75">
      <c r="A75" s="7" t="s">
        <v>111</v>
      </c>
      <c r="B75" s="8">
        <v>0</v>
      </c>
      <c r="C75" s="8">
        <v>5990.79</v>
      </c>
      <c r="D75" s="8">
        <v>6901.03</v>
      </c>
      <c r="E75" s="8">
        <v>7584.5</v>
      </c>
      <c r="F75" s="8">
        <v>8901.85</v>
      </c>
      <c r="G75" s="8">
        <v>8788.88</v>
      </c>
      <c r="H75" s="8">
        <v>7213.57</v>
      </c>
      <c r="I75" s="8">
        <v>9418.37</v>
      </c>
      <c r="J75" s="8">
        <v>9590.65</v>
      </c>
      <c r="K75" s="8">
        <v>5126.96</v>
      </c>
      <c r="L75" s="8">
        <v>0</v>
      </c>
      <c r="M75" s="8">
        <v>0</v>
      </c>
      <c r="N75" s="8">
        <v>6087.6673043477649</v>
      </c>
      <c r="O75" s="8">
        <v>9083.062304347759</v>
      </c>
      <c r="P75" s="8">
        <v>9538.1823043477689</v>
      </c>
      <c r="Q75" s="8">
        <v>9879.9173043477767</v>
      </c>
      <c r="R75" s="8">
        <v>10538.592304347774</v>
      </c>
      <c r="S75" s="8">
        <v>10482.107304347785</v>
      </c>
      <c r="T75" s="8">
        <v>9694.45230434778</v>
      </c>
      <c r="U75" s="8">
        <v>10796.852304347776</v>
      </c>
      <c r="V75" s="8">
        <v>10882.992304347785</v>
      </c>
      <c r="W75" s="8">
        <v>8651.14730434779</v>
      </c>
      <c r="X75" s="8">
        <v>6087.66730434776</v>
      </c>
      <c r="Y75" s="8">
        <v>6087.6673043478249</v>
      </c>
      <c r="Z75" s="8">
        <v>10146.112173912976</v>
      </c>
      <c r="AA75" s="8">
        <v>13141.50717391294</v>
      </c>
      <c r="AB75" s="8">
        <v>13596.627173913008</v>
      </c>
      <c r="AC75" s="8">
        <v>13938.362173912985</v>
      </c>
      <c r="AD75" s="8">
        <v>14597.037173912953</v>
      </c>
      <c r="AE75" s="8">
        <v>14540.552173913024</v>
      </c>
      <c r="AF75" s="8">
        <v>13752.89717391299</v>
      </c>
      <c r="AG75" s="8">
        <v>14855.297173912955</v>
      </c>
      <c r="AH75" s="8">
        <v>14941.437173912924</v>
      </c>
      <c r="AI75" s="8">
        <v>12709.59217391299</v>
      </c>
      <c r="AJ75" s="8">
        <v>10146.112173912959</v>
      </c>
      <c r="AK75" s="8">
        <v>10146.112173913025</v>
      </c>
    </row>
    <row r="76">
      <c r="A76" s="5" t="s">
        <v>112</v>
      </c>
      <c r="B76" s="6">
        <f>B71-SUM(B73:B75)</f>
      </c>
      <c r="C76" s="6">
        <f>C71-SUM(C73:C75)</f>
      </c>
      <c r="D76" s="6">
        <f>D71-SUM(D73:D75)</f>
      </c>
      <c r="E76" s="6">
        <f>E71-SUM(E73:E75)</f>
      </c>
      <c r="F76" s="6">
        <f>F71-SUM(F73:F75)</f>
      </c>
      <c r="G76" s="6">
        <f>G71-SUM(G73:G75)</f>
      </c>
      <c r="H76" s="6">
        <f>H71-SUM(H73:H75)</f>
      </c>
      <c r="I76" s="6">
        <f>I71-SUM(I73:I75)</f>
      </c>
      <c r="J76" s="6">
        <f>J71-SUM(J73:J75)</f>
      </c>
      <c r="K76" s="6">
        <f>K71-SUM(K73:K75)</f>
      </c>
      <c r="L76" s="6">
        <f>L71-SUM(L73:L75)</f>
      </c>
      <c r="M76" s="6">
        <f>M71-SUM(M73:M75)</f>
      </c>
      <c r="N76" s="6">
        <f>N71-SUM(N73:N75)</f>
      </c>
      <c r="O76" s="6">
        <f>O71-SUM(O73:O75)</f>
      </c>
      <c r="P76" s="6">
        <f>P71-SUM(P73:P75)</f>
      </c>
      <c r="Q76" s="6">
        <f>Q71-SUM(Q73:Q75)</f>
      </c>
      <c r="R76" s="6">
        <f>R71-SUM(R73:R75)</f>
      </c>
      <c r="S76" s="6">
        <f>S71-SUM(S73:S75)</f>
      </c>
      <c r="T76" s="6">
        <f>T71-SUM(T73:T75)</f>
      </c>
      <c r="U76" s="6">
        <f>U71-SUM(U73:U75)</f>
      </c>
      <c r="V76" s="6">
        <f>V71-SUM(V73:V75)</f>
      </c>
      <c r="W76" s="6">
        <f>W71-SUM(W73:W75)</f>
      </c>
      <c r="X76" s="6">
        <f>X71-SUM(X73:X75)</f>
      </c>
      <c r="Y76" s="6">
        <f>Y71-SUM(Y73:Y75)</f>
      </c>
      <c r="Z76" s="6">
        <f>Z71-SUM(Z73:Z75)</f>
      </c>
      <c r="AA76" s="6">
        <f>AA71-SUM(AA73:AA75)</f>
      </c>
      <c r="AB76" s="6">
        <f>AB71-SUM(AB73:AB75)</f>
      </c>
      <c r="AC76" s="6">
        <f>AC71-SUM(AC73:AC75)</f>
      </c>
      <c r="AD76" s="6">
        <f>AD71-SUM(AD73:AD75)</f>
      </c>
      <c r="AE76" s="6">
        <f>AE71-SUM(AE73:AE75)</f>
      </c>
      <c r="AF76" s="6">
        <f>AF71-SUM(AF73:AF75)</f>
      </c>
      <c r="AG76" s="6">
        <f>AG71-SUM(AG73:AG75)</f>
      </c>
      <c r="AH76" s="6">
        <f>AH71-SUM(AH73:AH75)</f>
      </c>
      <c r="AI76" s="6">
        <f>AI71-SUM(AI73:AI75)</f>
      </c>
      <c r="AJ76" s="6">
        <f>AJ71-SUM(AJ73:AJ75)</f>
      </c>
      <c r="AK76" s="6">
        <f>AK71-SUM(AK73:AK75)</f>
      </c>
    </row>
    <row r="77">
      <c r="A77" s="5" t="s">
        <v>113</v>
      </c>
      <c r="B77" s="6">
        <f>B76</f>
      </c>
      <c r="C77" s="6">
        <f>C76</f>
      </c>
      <c r="D77" s="6">
        <f>D76</f>
      </c>
      <c r="E77" s="6">
        <f>E76</f>
      </c>
      <c r="F77" s="6">
        <f>F76</f>
      </c>
      <c r="G77" s="6">
        <f>G76</f>
      </c>
      <c r="H77" s="6">
        <f>H76</f>
      </c>
      <c r="I77" s="6">
        <f>I76</f>
      </c>
      <c r="J77" s="6">
        <f>J76</f>
      </c>
      <c r="K77" s="6">
        <f>K76</f>
      </c>
      <c r="L77" s="6">
        <f>L76</f>
      </c>
      <c r="M77" s="6">
        <f>M76</f>
      </c>
      <c r="N77" s="6">
        <f>N76</f>
      </c>
      <c r="O77" s="6">
        <f>O76</f>
      </c>
      <c r="P77" s="6">
        <f>P76</f>
      </c>
      <c r="Q77" s="6">
        <f>Q76</f>
      </c>
      <c r="R77" s="6">
        <f>R76</f>
      </c>
      <c r="S77" s="6">
        <f>S76</f>
      </c>
      <c r="T77" s="6">
        <f>T76</f>
      </c>
      <c r="U77" s="6">
        <f>U76</f>
      </c>
      <c r="V77" s="6">
        <f>V76</f>
      </c>
      <c r="W77" s="6">
        <f>W76</f>
      </c>
      <c r="X77" s="6">
        <f>X76</f>
      </c>
      <c r="Y77" s="6">
        <f>Y76</f>
      </c>
      <c r="Z77" s="6">
        <f>Z76</f>
      </c>
      <c r="AA77" s="6">
        <f>AA76</f>
      </c>
      <c r="AB77" s="6">
        <f>AB76</f>
      </c>
      <c r="AC77" s="6">
        <f>AC76</f>
      </c>
      <c r="AD77" s="6">
        <f>AD76</f>
      </c>
      <c r="AE77" s="6">
        <f>AE76</f>
      </c>
      <c r="AF77" s="6">
        <f>AF76</f>
      </c>
      <c r="AG77" s="6">
        <f>AG76</f>
      </c>
      <c r="AH77" s="6">
        <f>AH76</f>
      </c>
      <c r="AI77" s="6">
        <f>AI76</f>
      </c>
      <c r="AJ77" s="6">
        <f>AJ76</f>
      </c>
      <c r="AK77" s="6">
        <f>AK76</f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K68"/>
  <sheetViews>
    <sheetView workbookViewId="0">
      <pane xSplit="1" ySplit="2" topLeftCell="B3" state="frozen" activePane="bottomRight"/>
      <selection pane="topRight" activeCell="B1" sqref="B1"/>
      <selection pane="bottomLeft" activeCell="A3" sqref="A3"/>
      <selection pane="bottomRight" activeCell="A1" sqref="A1"/>
    </sheetView>
  </sheetViews>
  <sheetFormatPr defaultRowHeight="15"/>
  <cols>
    <col min="1" max="1" width="43.4451484680176" customWidth="1" style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</cols>
  <sheetData>
    <row r="1" ht="24" customHeight="1" s="2" customFormat="1">
      <c r="A1" s="3" t="s">
        <v>114</v>
      </c>
      <c r="C1" s="9" t="s">
        <v>1</v>
      </c>
    </row>
    <row r="2">
      <c r="A2" s="5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</row>
    <row r="3">
      <c r="A3" s="5" t="s">
        <v>115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5" t="s">
        <v>116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7" t="s">
        <v>117</v>
      </c>
      <c r="B5" s="8">
        <v>223.36</v>
      </c>
      <c r="C5" s="8">
        <v>223.36</v>
      </c>
      <c r="D5" s="8">
        <v>223.36</v>
      </c>
      <c r="E5" s="8">
        <v>223.36</v>
      </c>
      <c r="F5" s="8">
        <v>223.36</v>
      </c>
      <c r="G5" s="8">
        <v>223.36</v>
      </c>
      <c r="H5" s="8">
        <v>223.36</v>
      </c>
      <c r="I5" s="8">
        <v>223.36</v>
      </c>
      <c r="J5" s="8">
        <v>223.36</v>
      </c>
      <c r="K5" s="8">
        <v>223.36</v>
      </c>
      <c r="L5" s="8">
        <v>223.36</v>
      </c>
      <c r="M5" s="8">
        <v>223.36</v>
      </c>
      <c r="N5" s="8">
        <v>223.36</v>
      </c>
      <c r="O5" s="8">
        <v>223.36</v>
      </c>
      <c r="P5" s="8">
        <v>223.36</v>
      </c>
      <c r="Q5" s="8">
        <v>223.36</v>
      </c>
      <c r="R5" s="8">
        <v>223.36</v>
      </c>
      <c r="S5" s="8">
        <v>223.36</v>
      </c>
      <c r="T5" s="8">
        <v>223.36</v>
      </c>
      <c r="U5" s="8">
        <v>223.36</v>
      </c>
      <c r="V5" s="8">
        <v>223.36</v>
      </c>
      <c r="W5" s="8">
        <v>223.36</v>
      </c>
      <c r="X5" s="8">
        <v>223.36</v>
      </c>
      <c r="Y5" s="8">
        <v>223.36</v>
      </c>
      <c r="Z5" s="8">
        <v>223.36</v>
      </c>
      <c r="AA5" s="8">
        <v>223.36</v>
      </c>
      <c r="AB5" s="8">
        <v>223.36</v>
      </c>
      <c r="AC5" s="8">
        <v>223.36</v>
      </c>
      <c r="AD5" s="8">
        <v>223.36</v>
      </c>
      <c r="AE5" s="8">
        <v>223.36</v>
      </c>
      <c r="AF5" s="8">
        <v>223.36</v>
      </c>
      <c r="AG5" s="8">
        <v>223.36</v>
      </c>
      <c r="AH5" s="8">
        <v>223.36</v>
      </c>
      <c r="AI5" s="8">
        <v>223.36</v>
      </c>
      <c r="AJ5" s="8">
        <v>223.36</v>
      </c>
      <c r="AK5" s="8">
        <v>223.36</v>
      </c>
    </row>
    <row r="6">
      <c r="A6" s="7" t="s">
        <v>118</v>
      </c>
      <c r="B6" s="8">
        <v>-6.87</v>
      </c>
      <c r="C6" s="8">
        <v>181.01</v>
      </c>
      <c r="D6" s="8">
        <v>104.61</v>
      </c>
      <c r="E6" s="8">
        <v>31.93</v>
      </c>
      <c r="F6" s="8">
        <v>6.43</v>
      </c>
      <c r="G6" s="8">
        <v>-3.57</v>
      </c>
      <c r="H6" s="8">
        <v>-3.57</v>
      </c>
      <c r="I6" s="8">
        <v>-3.57</v>
      </c>
      <c r="J6" s="8">
        <v>-3.57</v>
      </c>
      <c r="K6" s="8">
        <v>-3.57</v>
      </c>
      <c r="L6" s="8">
        <v>-3.57</v>
      </c>
      <c r="M6" s="8">
        <v>-3.57</v>
      </c>
      <c r="N6" s="8">
        <v>-3.57</v>
      </c>
      <c r="O6" s="8">
        <v>-3.57</v>
      </c>
      <c r="P6" s="8">
        <v>-3.57</v>
      </c>
      <c r="Q6" s="8">
        <v>-3.57</v>
      </c>
      <c r="R6" s="8">
        <v>-3.57</v>
      </c>
      <c r="S6" s="8">
        <v>-3.57</v>
      </c>
      <c r="T6" s="8">
        <v>-3.57</v>
      </c>
      <c r="U6" s="8">
        <v>-3.57</v>
      </c>
      <c r="V6" s="8">
        <v>-3.57</v>
      </c>
      <c r="W6" s="8">
        <v>-3.57</v>
      </c>
      <c r="X6" s="8">
        <v>-3.57</v>
      </c>
      <c r="Y6" s="8">
        <v>-3.57</v>
      </c>
      <c r="Z6" s="8">
        <v>-3.57</v>
      </c>
      <c r="AA6" s="8">
        <v>-3.57</v>
      </c>
      <c r="AB6" s="8">
        <v>-3.57</v>
      </c>
      <c r="AC6" s="8">
        <v>-3.57</v>
      </c>
      <c r="AD6" s="8">
        <v>-3.57</v>
      </c>
      <c r="AE6" s="8">
        <v>-3.57</v>
      </c>
      <c r="AF6" s="8">
        <v>-3.57</v>
      </c>
      <c r="AG6" s="8">
        <v>-3.57</v>
      </c>
      <c r="AH6" s="8">
        <v>-3.57</v>
      </c>
      <c r="AI6" s="8">
        <v>-3.57</v>
      </c>
      <c r="AJ6" s="8">
        <v>-3.57</v>
      </c>
      <c r="AK6" s="8">
        <v>-3.57</v>
      </c>
    </row>
    <row r="7">
      <c r="A7" s="7" t="s">
        <v>119</v>
      </c>
      <c r="B7" s="8">
        <v>93.62</v>
      </c>
      <c r="C7" s="8">
        <v>93.62</v>
      </c>
      <c r="D7" s="8">
        <v>93.62</v>
      </c>
      <c r="E7" s="8">
        <v>93.62</v>
      </c>
      <c r="F7" s="8">
        <v>93.62</v>
      </c>
      <c r="G7" s="8">
        <v>93.62</v>
      </c>
      <c r="H7" s="8">
        <v>93.62</v>
      </c>
      <c r="I7" s="8">
        <v>93.62</v>
      </c>
      <c r="J7" s="8">
        <v>93.62</v>
      </c>
      <c r="K7" s="8">
        <v>93.62</v>
      </c>
      <c r="L7" s="8">
        <v>93.62</v>
      </c>
      <c r="M7" s="8">
        <v>93.62</v>
      </c>
      <c r="N7" s="8">
        <v>93.62</v>
      </c>
      <c r="O7" s="8">
        <v>93.62</v>
      </c>
      <c r="P7" s="8">
        <v>93.62</v>
      </c>
      <c r="Q7" s="8">
        <v>93.62</v>
      </c>
      <c r="R7" s="8">
        <v>93.62</v>
      </c>
      <c r="S7" s="8">
        <v>93.62</v>
      </c>
      <c r="T7" s="8">
        <v>93.62</v>
      </c>
      <c r="U7" s="8">
        <v>93.62</v>
      </c>
      <c r="V7" s="8">
        <v>93.62</v>
      </c>
      <c r="W7" s="8">
        <v>93.62</v>
      </c>
      <c r="X7" s="8">
        <v>93.62</v>
      </c>
      <c r="Y7" s="8">
        <v>93.62</v>
      </c>
      <c r="Z7" s="8">
        <v>93.62</v>
      </c>
      <c r="AA7" s="8">
        <v>93.62</v>
      </c>
      <c r="AB7" s="8">
        <v>93.62</v>
      </c>
      <c r="AC7" s="8">
        <v>93.62</v>
      </c>
      <c r="AD7" s="8">
        <v>93.62</v>
      </c>
      <c r="AE7" s="8">
        <v>93.62</v>
      </c>
      <c r="AF7" s="8">
        <v>93.62</v>
      </c>
      <c r="AG7" s="8">
        <v>93.62</v>
      </c>
      <c r="AH7" s="8">
        <v>93.62</v>
      </c>
      <c r="AI7" s="8">
        <v>93.62</v>
      </c>
      <c r="AJ7" s="8">
        <v>93.62</v>
      </c>
      <c r="AK7" s="8">
        <v>93.62</v>
      </c>
    </row>
    <row r="8">
      <c r="A8" s="7" t="s">
        <v>120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40000</v>
      </c>
      <c r="O8" s="8">
        <v>40000</v>
      </c>
      <c r="P8" s="8">
        <v>40000</v>
      </c>
      <c r="Q8" s="8">
        <v>40000</v>
      </c>
      <c r="R8" s="8">
        <v>40000</v>
      </c>
      <c r="S8" s="8">
        <v>40000</v>
      </c>
      <c r="T8" s="8">
        <v>40000</v>
      </c>
      <c r="U8" s="8">
        <v>40000</v>
      </c>
      <c r="V8" s="8">
        <v>40000</v>
      </c>
      <c r="W8" s="8">
        <v>40000</v>
      </c>
      <c r="X8" s="8">
        <v>40000</v>
      </c>
      <c r="Y8" s="8">
        <v>40000</v>
      </c>
      <c r="Z8" s="8">
        <v>40000</v>
      </c>
      <c r="AA8" s="8">
        <v>40000</v>
      </c>
      <c r="AB8" s="8">
        <v>40000</v>
      </c>
      <c r="AC8" s="8">
        <v>40000</v>
      </c>
      <c r="AD8" s="8">
        <v>40000</v>
      </c>
      <c r="AE8" s="8">
        <v>40000</v>
      </c>
      <c r="AF8" s="8">
        <v>40000</v>
      </c>
      <c r="AG8" s="8">
        <v>40000</v>
      </c>
      <c r="AH8" s="8">
        <v>40000</v>
      </c>
      <c r="AI8" s="8">
        <v>40000</v>
      </c>
      <c r="AJ8" s="8">
        <v>40000</v>
      </c>
      <c r="AK8" s="8">
        <v>40000</v>
      </c>
    </row>
    <row r="9">
      <c r="A9" s="7" t="s">
        <v>121</v>
      </c>
      <c r="B9" s="8">
        <v>67642.34</v>
      </c>
      <c r="C9" s="8">
        <v>69210.69</v>
      </c>
      <c r="D9" s="8">
        <v>46033.13</v>
      </c>
      <c r="E9" s="8">
        <v>114639.83</v>
      </c>
      <c r="F9" s="8">
        <v>108211.15</v>
      </c>
      <c r="G9" s="8">
        <v>80009.97</v>
      </c>
      <c r="H9" s="8">
        <v>66805.85</v>
      </c>
      <c r="I9" s="8">
        <v>72783.18</v>
      </c>
      <c r="J9" s="8">
        <v>31953.85</v>
      </c>
      <c r="K9" s="8">
        <v>59094.12</v>
      </c>
      <c r="L9" s="8">
        <v>69843.57</v>
      </c>
      <c r="M9" s="8">
        <v>77120.78</v>
      </c>
      <c r="N9" s="8">
        <v>89522.446228985573</v>
      </c>
      <c r="O9" s="8">
        <v>90068.640414146212</v>
      </c>
      <c r="P9" s="8">
        <v>116771.91359930683</v>
      </c>
      <c r="Q9" s="8">
        <v>145491.91756446744</v>
      </c>
      <c r="R9" s="8">
        <v>186449.35550962808</v>
      </c>
      <c r="S9" s="8">
        <v>259621.97749478865</v>
      </c>
      <c r="T9" s="8">
        <v>320831.13304661593</v>
      </c>
      <c r="U9" s="8">
        <v>313656.34869844327</v>
      </c>
      <c r="V9" s="8">
        <v>296787.02355027053</v>
      </c>
      <c r="W9" s="8">
        <v>349756.33320209774</v>
      </c>
      <c r="X9" s="8">
        <v>371719.48021392507</v>
      </c>
      <c r="Y9" s="8">
        <v>247084.92608575229</v>
      </c>
      <c r="Z9" s="8">
        <v>289058.00366201438</v>
      </c>
      <c r="AA9" s="8">
        <v>325175.9968062765</v>
      </c>
      <c r="AB9" s="8">
        <v>349495.67846553854</v>
      </c>
      <c r="AC9" s="8">
        <v>377546.31946940062</v>
      </c>
      <c r="AD9" s="8">
        <v>416769.55568186275</v>
      </c>
      <c r="AE9" s="8">
        <v>408727.92674712476</v>
      </c>
      <c r="AF9" s="8">
        <v>366815.57854538679</v>
      </c>
      <c r="AG9" s="8">
        <v>349495.46492064896</v>
      </c>
      <c r="AH9" s="8">
        <v>329221.855409911</v>
      </c>
      <c r="AI9" s="8">
        <v>376802.64734517311</v>
      </c>
      <c r="AJ9" s="8">
        <v>391122.51782563521</v>
      </c>
      <c r="AK9" s="8">
        <v>335855.38732629723</v>
      </c>
    </row>
    <row r="10">
      <c r="A10" s="5" t="s">
        <v>122</v>
      </c>
      <c r="B10" s="6">
        <f>SUM(B5:B9)</f>
      </c>
      <c r="C10" s="6">
        <f>SUM(C5:C9)</f>
      </c>
      <c r="D10" s="6">
        <f>SUM(D5:D9)</f>
      </c>
      <c r="E10" s="6">
        <f>SUM(E5:E9)</f>
      </c>
      <c r="F10" s="6">
        <f>SUM(F5:F9)</f>
      </c>
      <c r="G10" s="6">
        <f>SUM(G5:G9)</f>
      </c>
      <c r="H10" s="6">
        <f>SUM(H5:H9)</f>
      </c>
      <c r="I10" s="6">
        <f>SUM(I5:I9)</f>
      </c>
      <c r="J10" s="6">
        <f>SUM(J5:J9)</f>
      </c>
      <c r="K10" s="6">
        <f>SUM(K5:K9)</f>
      </c>
      <c r="L10" s="6">
        <f>SUM(L5:L9)</f>
      </c>
      <c r="M10" s="6">
        <f>SUM(M5:M9)</f>
      </c>
      <c r="N10" s="6">
        <f>SUM(N5:N9)</f>
      </c>
      <c r="O10" s="6">
        <f>SUM(O5:O9)</f>
      </c>
      <c r="P10" s="6">
        <f>SUM(P5:P9)</f>
      </c>
      <c r="Q10" s="6">
        <f>SUM(Q5:Q9)</f>
      </c>
      <c r="R10" s="6">
        <f>SUM(R5:R9)</f>
      </c>
      <c r="S10" s="6">
        <f>SUM(S5:S9)</f>
      </c>
      <c r="T10" s="6">
        <f>SUM(T5:T9)</f>
      </c>
      <c r="U10" s="6">
        <f>SUM(U5:U9)</f>
      </c>
      <c r="V10" s="6">
        <f>SUM(V5:V9)</f>
      </c>
      <c r="W10" s="6">
        <f>SUM(W5:W9)</f>
      </c>
      <c r="X10" s="6">
        <f>SUM(X5:X9)</f>
      </c>
      <c r="Y10" s="6">
        <f>SUM(Y5:Y9)</f>
      </c>
      <c r="Z10" s="6">
        <f>SUM(Z5:Z9)</f>
      </c>
      <c r="AA10" s="6">
        <f>SUM(AA5:AA9)</f>
      </c>
      <c r="AB10" s="6">
        <f>SUM(AB5:AB9)</f>
      </c>
      <c r="AC10" s="6">
        <f>SUM(AC5:AC9)</f>
      </c>
      <c r="AD10" s="6">
        <f>SUM(AD5:AD9)</f>
      </c>
      <c r="AE10" s="6">
        <f>SUM(AE5:AE9)</f>
      </c>
      <c r="AF10" s="6">
        <f>SUM(AF5:AF9)</f>
      </c>
      <c r="AG10" s="6">
        <f>SUM(AG5:AG9)</f>
      </c>
      <c r="AH10" s="6">
        <f>SUM(AH5:AH9)</f>
      </c>
      <c r="AI10" s="6">
        <f>SUM(AI5:AI9)</f>
      </c>
      <c r="AJ10" s="6">
        <f>SUM(AJ5:AJ9)</f>
      </c>
      <c r="AK10" s="6">
        <f>SUM(AK5:AK9)</f>
      </c>
    </row>
    <row r="11">
      <c r="A11" s="5" t="s">
        <v>123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7" t="s">
        <v>123</v>
      </c>
      <c r="B12" s="8">
        <v>32049.15</v>
      </c>
      <c r="C12" s="8">
        <v>53692.95</v>
      </c>
      <c r="D12" s="8">
        <v>101276.2</v>
      </c>
      <c r="E12" s="8">
        <v>29835.88</v>
      </c>
      <c r="F12" s="8">
        <v>66518.12</v>
      </c>
      <c r="G12" s="8">
        <v>46838.8</v>
      </c>
      <c r="H12" s="8">
        <v>40938.32</v>
      </c>
      <c r="I12" s="8">
        <v>14392.32</v>
      </c>
      <c r="J12" s="8">
        <v>6200</v>
      </c>
      <c r="K12" s="8">
        <v>43207.8</v>
      </c>
      <c r="L12" s="8">
        <v>51100.2</v>
      </c>
      <c r="M12" s="8">
        <v>43368.3</v>
      </c>
      <c r="N12" s="8">
        <v>36140.25</v>
      </c>
      <c r="O12" s="8">
        <v>28912.2</v>
      </c>
      <c r="P12" s="8">
        <v>21684.149999999998</v>
      </c>
      <c r="Q12" s="8">
        <v>14456.1</v>
      </c>
      <c r="R12" s="8">
        <v>7228.0499999999993</v>
      </c>
      <c r="S12" s="8">
        <v>-6.8E-24</v>
      </c>
      <c r="T12" s="8">
        <v>-6.8E-24</v>
      </c>
      <c r="U12" s="8">
        <v>-6.8E-24</v>
      </c>
      <c r="V12" s="8">
        <v>-6.8E-24</v>
      </c>
      <c r="W12" s="8">
        <v>-6.8E-24</v>
      </c>
      <c r="X12" s="8">
        <v>-6.8E-24</v>
      </c>
      <c r="Y12" s="8">
        <v>-6.8E-24</v>
      </c>
      <c r="Z12" s="8">
        <v>-6.8E-24</v>
      </c>
      <c r="AA12" s="8">
        <v>-6.8E-24</v>
      </c>
      <c r="AB12" s="8">
        <v>-6.8E-24</v>
      </c>
      <c r="AC12" s="8">
        <v>-6.8E-24</v>
      </c>
      <c r="AD12" s="8">
        <v>-6.8E-24</v>
      </c>
      <c r="AE12" s="8">
        <v>-6.8E-24</v>
      </c>
      <c r="AF12" s="8">
        <v>-6.8E-24</v>
      </c>
      <c r="AG12" s="8">
        <v>-6.8E-24</v>
      </c>
      <c r="AH12" s="8">
        <v>-6.8E-24</v>
      </c>
      <c r="AI12" s="8">
        <v>-6.8E-24</v>
      </c>
      <c r="AJ12" s="8">
        <v>-6.8E-24</v>
      </c>
      <c r="AK12" s="8">
        <v>-6.8E-24</v>
      </c>
    </row>
    <row r="13">
      <c r="A13" s="5" t="s">
        <v>124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>
      <c r="A14" s="7" t="s">
        <v>125</v>
      </c>
      <c r="B14" s="8">
        <v>1980</v>
      </c>
      <c r="C14" s="8">
        <v>1980</v>
      </c>
      <c r="D14" s="8">
        <v>1980</v>
      </c>
      <c r="E14" s="8">
        <v>1980</v>
      </c>
      <c r="F14" s="8">
        <v>1980</v>
      </c>
      <c r="G14" s="8">
        <v>1980</v>
      </c>
      <c r="H14" s="8">
        <v>1980</v>
      </c>
      <c r="I14" s="8">
        <v>1980</v>
      </c>
      <c r="J14" s="8">
        <v>1980</v>
      </c>
      <c r="K14" s="8">
        <v>1980</v>
      </c>
      <c r="L14" s="8">
        <v>1980</v>
      </c>
      <c r="M14" s="8">
        <v>1980</v>
      </c>
      <c r="N14" s="8">
        <v>1980</v>
      </c>
      <c r="O14" s="8">
        <v>1980</v>
      </c>
      <c r="P14" s="8">
        <v>1980</v>
      </c>
      <c r="Q14" s="8">
        <v>1980</v>
      </c>
      <c r="R14" s="8">
        <v>1980</v>
      </c>
      <c r="S14" s="8">
        <v>1980</v>
      </c>
      <c r="T14" s="8">
        <v>1980</v>
      </c>
      <c r="U14" s="8">
        <v>1980</v>
      </c>
      <c r="V14" s="8">
        <v>1980</v>
      </c>
      <c r="W14" s="8">
        <v>1980</v>
      </c>
      <c r="X14" s="8">
        <v>1980</v>
      </c>
      <c r="Y14" s="8">
        <v>1980</v>
      </c>
      <c r="Z14" s="8">
        <v>1980</v>
      </c>
      <c r="AA14" s="8">
        <v>1980</v>
      </c>
      <c r="AB14" s="8">
        <v>1980</v>
      </c>
      <c r="AC14" s="8">
        <v>1980</v>
      </c>
      <c r="AD14" s="8">
        <v>1980</v>
      </c>
      <c r="AE14" s="8">
        <v>1980</v>
      </c>
      <c r="AF14" s="8">
        <v>1980</v>
      </c>
      <c r="AG14" s="8">
        <v>1980</v>
      </c>
      <c r="AH14" s="8">
        <v>1980</v>
      </c>
      <c r="AI14" s="8">
        <v>1980</v>
      </c>
      <c r="AJ14" s="8">
        <v>1980</v>
      </c>
      <c r="AK14" s="8">
        <v>1980</v>
      </c>
    </row>
    <row r="15">
      <c r="A15" s="7" t="s">
        <v>126</v>
      </c>
      <c r="B15" s="8">
        <v>46000</v>
      </c>
      <c r="C15" s="8">
        <v>46000</v>
      </c>
      <c r="D15" s="8">
        <v>46000</v>
      </c>
      <c r="E15" s="8">
        <v>46000</v>
      </c>
      <c r="F15" s="8">
        <v>46000</v>
      </c>
      <c r="G15" s="8">
        <v>46000</v>
      </c>
      <c r="H15" s="8">
        <v>46000</v>
      </c>
      <c r="I15" s="8">
        <v>46000</v>
      </c>
      <c r="J15" s="8">
        <v>46000</v>
      </c>
      <c r="K15" s="8">
        <v>46000</v>
      </c>
      <c r="L15" s="8">
        <v>46000</v>
      </c>
      <c r="M15" s="8">
        <v>46000</v>
      </c>
      <c r="N15" s="8">
        <v>46000</v>
      </c>
      <c r="O15" s="8">
        <v>46000</v>
      </c>
      <c r="P15" s="8">
        <v>46000</v>
      </c>
      <c r="Q15" s="8">
        <v>46000</v>
      </c>
      <c r="R15" s="8">
        <v>46000</v>
      </c>
      <c r="S15" s="8">
        <v>46000</v>
      </c>
      <c r="T15" s="8">
        <v>46000</v>
      </c>
      <c r="U15" s="8">
        <v>46000</v>
      </c>
      <c r="V15" s="8">
        <v>46000</v>
      </c>
      <c r="W15" s="8">
        <v>46000</v>
      </c>
      <c r="X15" s="8">
        <v>46000</v>
      </c>
      <c r="Y15" s="8">
        <v>46000</v>
      </c>
      <c r="Z15" s="8">
        <v>46000</v>
      </c>
      <c r="AA15" s="8">
        <v>46000</v>
      </c>
      <c r="AB15" s="8">
        <v>46000</v>
      </c>
      <c r="AC15" s="8">
        <v>46000</v>
      </c>
      <c r="AD15" s="8">
        <v>46000</v>
      </c>
      <c r="AE15" s="8">
        <v>46000</v>
      </c>
      <c r="AF15" s="8">
        <v>46000</v>
      </c>
      <c r="AG15" s="8">
        <v>46000</v>
      </c>
      <c r="AH15" s="8">
        <v>46000</v>
      </c>
      <c r="AI15" s="8">
        <v>46000</v>
      </c>
      <c r="AJ15" s="8">
        <v>46000</v>
      </c>
      <c r="AK15" s="8">
        <v>46000</v>
      </c>
    </row>
    <row r="16">
      <c r="A16" s="7" t="s">
        <v>127</v>
      </c>
      <c r="B16" s="8">
        <v>1500</v>
      </c>
      <c r="C16" s="8">
        <v>1500</v>
      </c>
      <c r="D16" s="8">
        <v>1500</v>
      </c>
      <c r="E16" s="8">
        <v>1500</v>
      </c>
      <c r="F16" s="8">
        <v>1375</v>
      </c>
      <c r="G16" s="8">
        <v>1375</v>
      </c>
      <c r="H16" s="8">
        <v>1250</v>
      </c>
      <c r="I16" s="8">
        <v>1000</v>
      </c>
      <c r="J16" s="8">
        <v>875</v>
      </c>
      <c r="K16" s="8">
        <v>875</v>
      </c>
      <c r="L16" s="8">
        <v>875</v>
      </c>
      <c r="M16" s="8">
        <v>875</v>
      </c>
      <c r="N16" s="8">
        <v>875</v>
      </c>
      <c r="O16" s="8">
        <v>875</v>
      </c>
      <c r="P16" s="8">
        <v>875</v>
      </c>
      <c r="Q16" s="8">
        <v>875</v>
      </c>
      <c r="R16" s="8">
        <v>875</v>
      </c>
      <c r="S16" s="8">
        <v>875</v>
      </c>
      <c r="T16" s="8">
        <v>875</v>
      </c>
      <c r="U16" s="8">
        <v>875</v>
      </c>
      <c r="V16" s="8">
        <v>875</v>
      </c>
      <c r="W16" s="8">
        <v>875</v>
      </c>
      <c r="X16" s="8">
        <v>875</v>
      </c>
      <c r="Y16" s="8">
        <v>875</v>
      </c>
      <c r="Z16" s="8">
        <v>875</v>
      </c>
      <c r="AA16" s="8">
        <v>875</v>
      </c>
      <c r="AB16" s="8">
        <v>875</v>
      </c>
      <c r="AC16" s="8">
        <v>875</v>
      </c>
      <c r="AD16" s="8">
        <v>875</v>
      </c>
      <c r="AE16" s="8">
        <v>875</v>
      </c>
      <c r="AF16" s="8">
        <v>875</v>
      </c>
      <c r="AG16" s="8">
        <v>875</v>
      </c>
      <c r="AH16" s="8">
        <v>875</v>
      </c>
      <c r="AI16" s="8">
        <v>875</v>
      </c>
      <c r="AJ16" s="8">
        <v>875</v>
      </c>
      <c r="AK16" s="8">
        <v>875</v>
      </c>
    </row>
    <row r="17">
      <c r="A17" s="7" t="s">
        <v>128</v>
      </c>
      <c r="B17" s="8">
        <v>28260</v>
      </c>
      <c r="C17" s="8">
        <v>28260</v>
      </c>
      <c r="D17" s="8">
        <v>28260</v>
      </c>
      <c r="E17" s="8">
        <v>28260</v>
      </c>
      <c r="F17" s="8">
        <v>28260</v>
      </c>
      <c r="G17" s="8">
        <v>28260</v>
      </c>
      <c r="H17" s="8">
        <v>28260</v>
      </c>
      <c r="I17" s="8">
        <v>28260</v>
      </c>
      <c r="J17" s="8">
        <v>28260</v>
      </c>
      <c r="K17" s="8">
        <v>28260</v>
      </c>
      <c r="L17" s="8">
        <v>28260</v>
      </c>
      <c r="M17" s="8">
        <v>28260</v>
      </c>
      <c r="N17" s="8">
        <v>28260</v>
      </c>
      <c r="O17" s="8">
        <v>28260</v>
      </c>
      <c r="P17" s="8">
        <v>28260</v>
      </c>
      <c r="Q17" s="8">
        <v>28260</v>
      </c>
      <c r="R17" s="8">
        <v>28260</v>
      </c>
      <c r="S17" s="8">
        <v>28260</v>
      </c>
      <c r="T17" s="8">
        <v>28260</v>
      </c>
      <c r="U17" s="8">
        <v>28260</v>
      </c>
      <c r="V17" s="8">
        <v>28260</v>
      </c>
      <c r="W17" s="8">
        <v>28260</v>
      </c>
      <c r="X17" s="8">
        <v>28260</v>
      </c>
      <c r="Y17" s="8">
        <v>28260</v>
      </c>
      <c r="Z17" s="8">
        <v>28260</v>
      </c>
      <c r="AA17" s="8">
        <v>28260</v>
      </c>
      <c r="AB17" s="8">
        <v>28260</v>
      </c>
      <c r="AC17" s="8">
        <v>28260</v>
      </c>
      <c r="AD17" s="8">
        <v>28260</v>
      </c>
      <c r="AE17" s="8">
        <v>28260</v>
      </c>
      <c r="AF17" s="8">
        <v>28260</v>
      </c>
      <c r="AG17" s="8">
        <v>28260</v>
      </c>
      <c r="AH17" s="8">
        <v>28260</v>
      </c>
      <c r="AI17" s="8">
        <v>28260</v>
      </c>
      <c r="AJ17" s="8">
        <v>28260</v>
      </c>
      <c r="AK17" s="8">
        <v>28260</v>
      </c>
    </row>
    <row r="18">
      <c r="A18" s="7" t="s">
        <v>129</v>
      </c>
      <c r="B18" s="8">
        <v>4366.53</v>
      </c>
      <c r="C18" s="8">
        <v>4366.53</v>
      </c>
      <c r="D18" s="8">
        <v>4366.53</v>
      </c>
      <c r="E18" s="8">
        <v>4366.53</v>
      </c>
      <c r="F18" s="8">
        <v>4366.53</v>
      </c>
      <c r="G18" s="8">
        <v>4366.53</v>
      </c>
      <c r="H18" s="8">
        <v>4366.53</v>
      </c>
      <c r="I18" s="8">
        <v>4366.53</v>
      </c>
      <c r="J18" s="8">
        <v>4366.53</v>
      </c>
      <c r="K18" s="8">
        <v>4366.53</v>
      </c>
      <c r="L18" s="8">
        <v>4366.53</v>
      </c>
      <c r="M18" s="8">
        <v>4366.53</v>
      </c>
      <c r="N18" s="8">
        <v>4366.53</v>
      </c>
      <c r="O18" s="8">
        <v>4366.53</v>
      </c>
      <c r="P18" s="8">
        <v>4366.53</v>
      </c>
      <c r="Q18" s="8">
        <v>4366.53</v>
      </c>
      <c r="R18" s="8">
        <v>4366.53</v>
      </c>
      <c r="S18" s="8">
        <v>4366.53</v>
      </c>
      <c r="T18" s="8">
        <v>4366.53</v>
      </c>
      <c r="U18" s="8">
        <v>4366.53</v>
      </c>
      <c r="V18" s="8">
        <v>4366.53</v>
      </c>
      <c r="W18" s="8">
        <v>4366.53</v>
      </c>
      <c r="X18" s="8">
        <v>4366.53</v>
      </c>
      <c r="Y18" s="8">
        <v>4366.53</v>
      </c>
      <c r="Z18" s="8">
        <v>4366.53</v>
      </c>
      <c r="AA18" s="8">
        <v>4366.53</v>
      </c>
      <c r="AB18" s="8">
        <v>4366.53</v>
      </c>
      <c r="AC18" s="8">
        <v>4366.53</v>
      </c>
      <c r="AD18" s="8">
        <v>4366.53</v>
      </c>
      <c r="AE18" s="8">
        <v>4366.53</v>
      </c>
      <c r="AF18" s="8">
        <v>4366.53</v>
      </c>
      <c r="AG18" s="8">
        <v>4366.53</v>
      </c>
      <c r="AH18" s="8">
        <v>4366.53</v>
      </c>
      <c r="AI18" s="8">
        <v>4366.53</v>
      </c>
      <c r="AJ18" s="8">
        <v>4366.53</v>
      </c>
      <c r="AK18" s="8">
        <v>4366.53</v>
      </c>
    </row>
    <row r="19">
      <c r="A19" s="5" t="s">
        <v>130</v>
      </c>
      <c r="B19" s="6">
        <f>SUM(B14:B18)</f>
      </c>
      <c r="C19" s="6">
        <f>SUM(C14:C18)</f>
      </c>
      <c r="D19" s="6">
        <f>SUM(D14:D18)</f>
      </c>
      <c r="E19" s="6">
        <f>SUM(E14:E18)</f>
      </c>
      <c r="F19" s="6">
        <f>SUM(F14:F18)</f>
      </c>
      <c r="G19" s="6">
        <f>SUM(G14:G18)</f>
      </c>
      <c r="H19" s="6">
        <f>SUM(H14:H18)</f>
      </c>
      <c r="I19" s="6">
        <f>SUM(I14:I18)</f>
      </c>
      <c r="J19" s="6">
        <f>SUM(J14:J18)</f>
      </c>
      <c r="K19" s="6">
        <f>SUM(K14:K18)</f>
      </c>
      <c r="L19" s="6">
        <f>SUM(L14:L18)</f>
      </c>
      <c r="M19" s="6">
        <f>SUM(M14:M18)</f>
      </c>
      <c r="N19" s="6">
        <f>SUM(N14:N18)</f>
      </c>
      <c r="O19" s="6">
        <f>SUM(O14:O18)</f>
      </c>
      <c r="P19" s="6">
        <f>SUM(P14:P18)</f>
      </c>
      <c r="Q19" s="6">
        <f>SUM(Q14:Q18)</f>
      </c>
      <c r="R19" s="6">
        <f>SUM(R14:R18)</f>
      </c>
      <c r="S19" s="6">
        <f>SUM(S14:S18)</f>
      </c>
      <c r="T19" s="6">
        <f>SUM(T14:T18)</f>
      </c>
      <c r="U19" s="6">
        <f>SUM(U14:U18)</f>
      </c>
      <c r="V19" s="6">
        <f>SUM(V14:V18)</f>
      </c>
      <c r="W19" s="6">
        <f>SUM(W14:W18)</f>
      </c>
      <c r="X19" s="6">
        <f>SUM(X14:X18)</f>
      </c>
      <c r="Y19" s="6">
        <f>SUM(Y14:Y18)</f>
      </c>
      <c r="Z19" s="6">
        <f>SUM(Z14:Z18)</f>
      </c>
      <c r="AA19" s="6">
        <f>SUM(AA14:AA18)</f>
      </c>
      <c r="AB19" s="6">
        <f>SUM(AB14:AB18)</f>
      </c>
      <c r="AC19" s="6">
        <f>SUM(AC14:AC18)</f>
      </c>
      <c r="AD19" s="6">
        <f>SUM(AD14:AD18)</f>
      </c>
      <c r="AE19" s="6">
        <f>SUM(AE14:AE18)</f>
      </c>
      <c r="AF19" s="6">
        <f>SUM(AF14:AF18)</f>
      </c>
      <c r="AG19" s="6">
        <f>SUM(AG14:AG18)</f>
      </c>
      <c r="AH19" s="6">
        <f>SUM(AH14:AH18)</f>
      </c>
      <c r="AI19" s="6">
        <f>SUM(AI14:AI18)</f>
      </c>
      <c r="AJ19" s="6">
        <f>SUM(AJ14:AJ18)</f>
      </c>
      <c r="AK19" s="6">
        <f>SUM(AK14:AK18)</f>
      </c>
    </row>
    <row r="20">
      <c r="A20" s="5" t="s">
        <v>131</v>
      </c>
      <c r="B20" s="6">
        <f>B10+SUM(B12)+B19</f>
      </c>
      <c r="C20" s="6">
        <f>C10+SUM(C12)+C19</f>
      </c>
      <c r="D20" s="6">
        <f>D10+SUM(D12)+D19</f>
      </c>
      <c r="E20" s="6">
        <f>E10+SUM(E12)+E19</f>
      </c>
      <c r="F20" s="6">
        <f>F10+SUM(F12)+F19</f>
      </c>
      <c r="G20" s="6">
        <f>G10+SUM(G12)+G19</f>
      </c>
      <c r="H20" s="6">
        <f>H10+SUM(H12)+H19</f>
      </c>
      <c r="I20" s="6">
        <f>I10+SUM(I12)+I19</f>
      </c>
      <c r="J20" s="6">
        <f>J10+SUM(J12)+J19</f>
      </c>
      <c r="K20" s="6">
        <f>K10+SUM(K12)+K19</f>
      </c>
      <c r="L20" s="6">
        <f>L10+SUM(L12)+L19</f>
      </c>
      <c r="M20" s="6">
        <f>M10+SUM(M12)+M19</f>
      </c>
      <c r="N20" s="6">
        <f>N10+SUM(N12)+N19</f>
      </c>
      <c r="O20" s="6">
        <f>O10+SUM(O12)+O19</f>
      </c>
      <c r="P20" s="6">
        <f>P10+SUM(P12)+P19</f>
      </c>
      <c r="Q20" s="6">
        <f>Q10+SUM(Q12)+Q19</f>
      </c>
      <c r="R20" s="6">
        <f>R10+SUM(R12)+R19</f>
      </c>
      <c r="S20" s="6">
        <f>S10+SUM(S12)+S19</f>
      </c>
      <c r="T20" s="6">
        <f>T10+SUM(T12)+T19</f>
      </c>
      <c r="U20" s="6">
        <f>U10+SUM(U12)+U19</f>
      </c>
      <c r="V20" s="6">
        <f>V10+SUM(V12)+V19</f>
      </c>
      <c r="W20" s="6">
        <f>W10+SUM(W12)+W19</f>
      </c>
      <c r="X20" s="6">
        <f>X10+SUM(X12)+X19</f>
      </c>
      <c r="Y20" s="6">
        <f>Y10+SUM(Y12)+Y19</f>
      </c>
      <c r="Z20" s="6">
        <f>Z10+SUM(Z12)+Z19</f>
      </c>
      <c r="AA20" s="6">
        <f>AA10+SUM(AA12)+AA19</f>
      </c>
      <c r="AB20" s="6">
        <f>AB10+SUM(AB12)+AB19</f>
      </c>
      <c r="AC20" s="6">
        <f>AC10+SUM(AC12)+AC19</f>
      </c>
      <c r="AD20" s="6">
        <f>AD10+SUM(AD12)+AD19</f>
      </c>
      <c r="AE20" s="6">
        <f>AE10+SUM(AE12)+AE19</f>
      </c>
      <c r="AF20" s="6">
        <f>AF10+SUM(AF12)+AF19</f>
      </c>
      <c r="AG20" s="6">
        <f>AG10+SUM(AG12)+AG19</f>
      </c>
      <c r="AH20" s="6">
        <f>AH10+SUM(AH12)+AH19</f>
      </c>
      <c r="AI20" s="6">
        <f>AI10+SUM(AI12)+AI19</f>
      </c>
      <c r="AJ20" s="6">
        <f>AJ10+SUM(AJ12)+AJ19</f>
      </c>
      <c r="AK20" s="6">
        <f>AK10+SUM(AK12)+AK19</f>
      </c>
    </row>
    <row r="21">
      <c r="A21" s="5" t="s">
        <v>132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>
      <c r="A22" s="7" t="s">
        <v>133</v>
      </c>
      <c r="B22" s="8">
        <v>712004</v>
      </c>
      <c r="C22" s="8">
        <v>712004</v>
      </c>
      <c r="D22" s="8">
        <v>712004</v>
      </c>
      <c r="E22" s="8">
        <v>712004</v>
      </c>
      <c r="F22" s="8">
        <v>712004</v>
      </c>
      <c r="G22" s="8">
        <v>712004</v>
      </c>
      <c r="H22" s="8">
        <v>712004</v>
      </c>
      <c r="I22" s="8">
        <v>712004</v>
      </c>
      <c r="J22" s="8">
        <v>712004</v>
      </c>
      <c r="K22" s="8">
        <v>712004</v>
      </c>
      <c r="L22" s="8">
        <v>712004</v>
      </c>
      <c r="M22" s="8">
        <v>712004</v>
      </c>
      <c r="N22" s="8">
        <v>712004</v>
      </c>
      <c r="O22" s="8">
        <v>712004</v>
      </c>
      <c r="P22" s="8">
        <v>712004</v>
      </c>
      <c r="Q22" s="8">
        <v>712004</v>
      </c>
      <c r="R22" s="8">
        <v>712004</v>
      </c>
      <c r="S22" s="8">
        <v>712004</v>
      </c>
      <c r="T22" s="8">
        <v>712004</v>
      </c>
      <c r="U22" s="8">
        <v>712004</v>
      </c>
      <c r="V22" s="8">
        <v>712004</v>
      </c>
      <c r="W22" s="8">
        <v>712004</v>
      </c>
      <c r="X22" s="8">
        <v>712004</v>
      </c>
      <c r="Y22" s="8">
        <v>712004</v>
      </c>
      <c r="Z22" s="8">
        <v>712004</v>
      </c>
      <c r="AA22" s="8">
        <v>712004</v>
      </c>
      <c r="AB22" s="8">
        <v>712004</v>
      </c>
      <c r="AC22" s="8">
        <v>712004</v>
      </c>
      <c r="AD22" s="8">
        <v>712004</v>
      </c>
      <c r="AE22" s="8">
        <v>712004</v>
      </c>
      <c r="AF22" s="8">
        <v>712004</v>
      </c>
      <c r="AG22" s="8">
        <v>712004</v>
      </c>
      <c r="AH22" s="8">
        <v>712004</v>
      </c>
      <c r="AI22" s="8">
        <v>712004</v>
      </c>
      <c r="AJ22" s="8">
        <v>712004</v>
      </c>
      <c r="AK22" s="8">
        <v>712004</v>
      </c>
    </row>
    <row r="23">
      <c r="A23" s="7" t="s">
        <v>134</v>
      </c>
      <c r="B23" s="8">
        <v>121735.26</v>
      </c>
      <c r="C23" s="8">
        <v>121735.26</v>
      </c>
      <c r="D23" s="8">
        <v>121735.26</v>
      </c>
      <c r="E23" s="8">
        <v>121735.26</v>
      </c>
      <c r="F23" s="8">
        <v>121735.26</v>
      </c>
      <c r="G23" s="8">
        <v>121735.26</v>
      </c>
      <c r="H23" s="8">
        <v>121735.26</v>
      </c>
      <c r="I23" s="8">
        <v>121735.26</v>
      </c>
      <c r="J23" s="8">
        <v>121735.26</v>
      </c>
      <c r="K23" s="8">
        <v>121735.26</v>
      </c>
      <c r="L23" s="8">
        <v>121735.26</v>
      </c>
      <c r="M23" s="8">
        <v>121735.26</v>
      </c>
      <c r="N23" s="8">
        <v>121735.26</v>
      </c>
      <c r="O23" s="8">
        <v>121735.26</v>
      </c>
      <c r="P23" s="8">
        <v>121735.26</v>
      </c>
      <c r="Q23" s="8">
        <v>121735.26</v>
      </c>
      <c r="R23" s="8">
        <v>121735.26</v>
      </c>
      <c r="S23" s="8">
        <v>121735.26</v>
      </c>
      <c r="T23" s="8">
        <v>121735.26</v>
      </c>
      <c r="U23" s="8">
        <v>121735.26</v>
      </c>
      <c r="V23" s="8">
        <v>121735.26</v>
      </c>
      <c r="W23" s="8">
        <v>121735.26</v>
      </c>
      <c r="X23" s="8">
        <v>121735.26</v>
      </c>
      <c r="Y23" s="8">
        <v>121735.26</v>
      </c>
      <c r="Z23" s="8">
        <v>121735.26</v>
      </c>
      <c r="AA23" s="8">
        <v>121735.26</v>
      </c>
      <c r="AB23" s="8">
        <v>121735.26</v>
      </c>
      <c r="AC23" s="8">
        <v>121735.26</v>
      </c>
      <c r="AD23" s="8">
        <v>121735.26</v>
      </c>
      <c r="AE23" s="8">
        <v>121735.26</v>
      </c>
      <c r="AF23" s="8">
        <v>121735.26</v>
      </c>
      <c r="AG23" s="8">
        <v>121735.26</v>
      </c>
      <c r="AH23" s="8">
        <v>121735.26</v>
      </c>
      <c r="AI23" s="8">
        <v>121735.26</v>
      </c>
      <c r="AJ23" s="8">
        <v>121735.26</v>
      </c>
      <c r="AK23" s="8">
        <v>121735.26</v>
      </c>
    </row>
    <row r="24">
      <c r="A24" s="7" t="s">
        <v>135</v>
      </c>
      <c r="B24" s="8">
        <v>8059.23</v>
      </c>
      <c r="C24" s="8">
        <v>8059.23</v>
      </c>
      <c r="D24" s="8">
        <v>8059.23</v>
      </c>
      <c r="E24" s="8">
        <v>8059.23</v>
      </c>
      <c r="F24" s="8">
        <v>8059.23</v>
      </c>
      <c r="G24" s="8">
        <v>8059.23</v>
      </c>
      <c r="H24" s="8">
        <v>8059.23</v>
      </c>
      <c r="I24" s="8">
        <v>8059.23</v>
      </c>
      <c r="J24" s="8">
        <v>8059.23</v>
      </c>
      <c r="K24" s="8">
        <v>8059.23</v>
      </c>
      <c r="L24" s="8">
        <v>8059.23</v>
      </c>
      <c r="M24" s="8">
        <v>8059.23</v>
      </c>
      <c r="N24" s="8">
        <v>8059.23</v>
      </c>
      <c r="O24" s="8">
        <v>8059.23</v>
      </c>
      <c r="P24" s="8">
        <v>8059.23</v>
      </c>
      <c r="Q24" s="8">
        <v>8059.23</v>
      </c>
      <c r="R24" s="8">
        <v>8059.23</v>
      </c>
      <c r="S24" s="8">
        <v>8059.23</v>
      </c>
      <c r="T24" s="8">
        <v>8059.23</v>
      </c>
      <c r="U24" s="8">
        <v>8059.23</v>
      </c>
      <c r="V24" s="8">
        <v>8059.23</v>
      </c>
      <c r="W24" s="8">
        <v>8059.23</v>
      </c>
      <c r="X24" s="8">
        <v>8059.23</v>
      </c>
      <c r="Y24" s="8">
        <v>8059.23</v>
      </c>
      <c r="Z24" s="8">
        <v>8059.23</v>
      </c>
      <c r="AA24" s="8">
        <v>8059.23</v>
      </c>
      <c r="AB24" s="8">
        <v>8059.23</v>
      </c>
      <c r="AC24" s="8">
        <v>8059.23</v>
      </c>
      <c r="AD24" s="8">
        <v>8059.23</v>
      </c>
      <c r="AE24" s="8">
        <v>8059.23</v>
      </c>
      <c r="AF24" s="8">
        <v>8059.23</v>
      </c>
      <c r="AG24" s="8">
        <v>8059.23</v>
      </c>
      <c r="AH24" s="8">
        <v>8059.23</v>
      </c>
      <c r="AI24" s="8">
        <v>8059.23</v>
      </c>
      <c r="AJ24" s="8">
        <v>8059.23</v>
      </c>
      <c r="AK24" s="8">
        <v>8059.23</v>
      </c>
    </row>
    <row r="25">
      <c r="A25" s="7" t="s">
        <v>136</v>
      </c>
      <c r="B25" s="8">
        <v>-108357.64</v>
      </c>
      <c r="C25" s="8">
        <v>-108357.64</v>
      </c>
      <c r="D25" s="8">
        <v>-108357.64</v>
      </c>
      <c r="E25" s="8">
        <v>-108357.64</v>
      </c>
      <c r="F25" s="8">
        <v>-108357.64</v>
      </c>
      <c r="G25" s="8">
        <v>-108357.64</v>
      </c>
      <c r="H25" s="8">
        <v>-108357.64</v>
      </c>
      <c r="I25" s="8">
        <v>-108357.64</v>
      </c>
      <c r="J25" s="8">
        <v>-108357.64</v>
      </c>
      <c r="K25" s="8">
        <v>-108357.64</v>
      </c>
      <c r="L25" s="8">
        <v>-108357.64</v>
      </c>
      <c r="M25" s="8">
        <v>-108357.64</v>
      </c>
      <c r="N25" s="8">
        <v>-108357.64</v>
      </c>
      <c r="O25" s="8">
        <v>-108357.64</v>
      </c>
      <c r="P25" s="8">
        <v>-108357.64</v>
      </c>
      <c r="Q25" s="8">
        <v>-108357.64</v>
      </c>
      <c r="R25" s="8">
        <v>-108357.64</v>
      </c>
      <c r="S25" s="8">
        <v>-108357.64</v>
      </c>
      <c r="T25" s="8">
        <v>-108357.64</v>
      </c>
      <c r="U25" s="8">
        <v>-108357.64</v>
      </c>
      <c r="V25" s="8">
        <v>-108357.64</v>
      </c>
      <c r="W25" s="8">
        <v>-108357.64</v>
      </c>
      <c r="X25" s="8">
        <v>-108357.64</v>
      </c>
      <c r="Y25" s="8">
        <v>-108357.64</v>
      </c>
      <c r="Z25" s="8">
        <v>-108357.64</v>
      </c>
      <c r="AA25" s="8">
        <v>-108357.64</v>
      </c>
      <c r="AB25" s="8">
        <v>-108357.64</v>
      </c>
      <c r="AC25" s="8">
        <v>-108357.64</v>
      </c>
      <c r="AD25" s="8">
        <v>-108357.64</v>
      </c>
      <c r="AE25" s="8">
        <v>-108357.64</v>
      </c>
      <c r="AF25" s="8">
        <v>-108357.64</v>
      </c>
      <c r="AG25" s="8">
        <v>-108357.64</v>
      </c>
      <c r="AH25" s="8">
        <v>-108357.64</v>
      </c>
      <c r="AI25" s="8">
        <v>-108357.64</v>
      </c>
      <c r="AJ25" s="8">
        <v>-108357.64</v>
      </c>
      <c r="AK25" s="8">
        <v>-108357.64</v>
      </c>
    </row>
    <row r="26">
      <c r="A26" s="7" t="s">
        <v>137</v>
      </c>
      <c r="B26" s="8">
        <v>-12504.13</v>
      </c>
      <c r="C26" s="8">
        <v>-12504.13</v>
      </c>
      <c r="D26" s="8">
        <v>-12504.13</v>
      </c>
      <c r="E26" s="8">
        <v>-12504.13</v>
      </c>
      <c r="F26" s="8">
        <v>-12504.13</v>
      </c>
      <c r="G26" s="8">
        <v>-12504.13</v>
      </c>
      <c r="H26" s="8">
        <v>-12504.13</v>
      </c>
      <c r="I26" s="8">
        <v>-12504.13</v>
      </c>
      <c r="J26" s="8">
        <v>-12504.13</v>
      </c>
      <c r="K26" s="8">
        <v>-12504.13</v>
      </c>
      <c r="L26" s="8">
        <v>-12504.13</v>
      </c>
      <c r="M26" s="8">
        <v>-12504.13</v>
      </c>
      <c r="N26" s="8">
        <v>-12504.13</v>
      </c>
      <c r="O26" s="8">
        <v>-12504.13</v>
      </c>
      <c r="P26" s="8">
        <v>-12504.13</v>
      </c>
      <c r="Q26" s="8">
        <v>-12504.13</v>
      </c>
      <c r="R26" s="8">
        <v>-12504.13</v>
      </c>
      <c r="S26" s="8">
        <v>-12504.13</v>
      </c>
      <c r="T26" s="8">
        <v>-12504.13</v>
      </c>
      <c r="U26" s="8">
        <v>-12504.13</v>
      </c>
      <c r="V26" s="8">
        <v>-12504.13</v>
      </c>
      <c r="W26" s="8">
        <v>-12504.13</v>
      </c>
      <c r="X26" s="8">
        <v>-12504.13</v>
      </c>
      <c r="Y26" s="8">
        <v>-12504.13</v>
      </c>
      <c r="Z26" s="8">
        <v>-12504.13</v>
      </c>
      <c r="AA26" s="8">
        <v>-12504.13</v>
      </c>
      <c r="AB26" s="8">
        <v>-12504.13</v>
      </c>
      <c r="AC26" s="8">
        <v>-12504.13</v>
      </c>
      <c r="AD26" s="8">
        <v>-12504.13</v>
      </c>
      <c r="AE26" s="8">
        <v>-12504.13</v>
      </c>
      <c r="AF26" s="8">
        <v>-12504.13</v>
      </c>
      <c r="AG26" s="8">
        <v>-12504.13</v>
      </c>
      <c r="AH26" s="8">
        <v>-12504.13</v>
      </c>
      <c r="AI26" s="8">
        <v>-12504.13</v>
      </c>
      <c r="AJ26" s="8">
        <v>-12504.13</v>
      </c>
      <c r="AK26" s="8">
        <v>-12504.13</v>
      </c>
    </row>
    <row r="27">
      <c r="A27" s="7" t="s">
        <v>138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18.99</v>
      </c>
      <c r="I27" s="8">
        <v>18.99</v>
      </c>
      <c r="J27" s="8">
        <v>18.99</v>
      </c>
      <c r="K27" s="8">
        <v>18.99</v>
      </c>
      <c r="L27" s="8">
        <v>18.99</v>
      </c>
      <c r="M27" s="8">
        <v>18.99</v>
      </c>
      <c r="N27" s="8">
        <v>18.99</v>
      </c>
      <c r="O27" s="8">
        <v>18.99</v>
      </c>
      <c r="P27" s="8">
        <v>18.99</v>
      </c>
      <c r="Q27" s="8">
        <v>18.99</v>
      </c>
      <c r="R27" s="8">
        <v>18.99</v>
      </c>
      <c r="S27" s="8">
        <v>18.99</v>
      </c>
      <c r="T27" s="8">
        <v>18.99</v>
      </c>
      <c r="U27" s="8">
        <v>18.99</v>
      </c>
      <c r="V27" s="8">
        <v>18.99</v>
      </c>
      <c r="W27" s="8">
        <v>18.99</v>
      </c>
      <c r="X27" s="8">
        <v>18.99</v>
      </c>
      <c r="Y27" s="8">
        <v>18.99</v>
      </c>
      <c r="Z27" s="8">
        <v>18.99</v>
      </c>
      <c r="AA27" s="8">
        <v>18.99</v>
      </c>
      <c r="AB27" s="8">
        <v>18.99</v>
      </c>
      <c r="AC27" s="8">
        <v>18.99</v>
      </c>
      <c r="AD27" s="8">
        <v>18.99</v>
      </c>
      <c r="AE27" s="8">
        <v>18.99</v>
      </c>
      <c r="AF27" s="8">
        <v>18.99</v>
      </c>
      <c r="AG27" s="8">
        <v>18.99</v>
      </c>
      <c r="AH27" s="8">
        <v>18.99</v>
      </c>
      <c r="AI27" s="8">
        <v>18.99</v>
      </c>
      <c r="AJ27" s="8">
        <v>18.99</v>
      </c>
      <c r="AK27" s="8">
        <v>18.99</v>
      </c>
    </row>
    <row r="28">
      <c r="A28" s="7" t="s">
        <v>139</v>
      </c>
      <c r="B28" s="8">
        <v>0</v>
      </c>
      <c r="C28" s="8">
        <v>0</v>
      </c>
      <c r="D28" s="8">
        <v>0</v>
      </c>
      <c r="E28" s="8">
        <v>309.25</v>
      </c>
      <c r="F28" s="8">
        <v>309.25</v>
      </c>
      <c r="G28" s="8">
        <v>309.25</v>
      </c>
      <c r="H28" s="8">
        <v>309.25</v>
      </c>
      <c r="I28" s="8">
        <v>309.25</v>
      </c>
      <c r="J28" s="8">
        <v>309.25</v>
      </c>
      <c r="K28" s="8">
        <v>309.25</v>
      </c>
      <c r="L28" s="8">
        <v>309.25</v>
      </c>
      <c r="M28" s="8">
        <v>309.25</v>
      </c>
      <c r="N28" s="8">
        <v>309.25</v>
      </c>
      <c r="O28" s="8">
        <v>309.25</v>
      </c>
      <c r="P28" s="8">
        <v>309.25</v>
      </c>
      <c r="Q28" s="8">
        <v>309.25</v>
      </c>
      <c r="R28" s="8">
        <v>309.25</v>
      </c>
      <c r="S28" s="8">
        <v>309.25</v>
      </c>
      <c r="T28" s="8">
        <v>309.25</v>
      </c>
      <c r="U28" s="8">
        <v>309.25</v>
      </c>
      <c r="V28" s="8">
        <v>309.25</v>
      </c>
      <c r="W28" s="8">
        <v>309.25</v>
      </c>
      <c r="X28" s="8">
        <v>309.25</v>
      </c>
      <c r="Y28" s="8">
        <v>309.25</v>
      </c>
      <c r="Z28" s="8">
        <v>309.25</v>
      </c>
      <c r="AA28" s="8">
        <v>309.25</v>
      </c>
      <c r="AB28" s="8">
        <v>309.25</v>
      </c>
      <c r="AC28" s="8">
        <v>309.25</v>
      </c>
      <c r="AD28" s="8">
        <v>309.25</v>
      </c>
      <c r="AE28" s="8">
        <v>309.25</v>
      </c>
      <c r="AF28" s="8">
        <v>309.25</v>
      </c>
      <c r="AG28" s="8">
        <v>309.25</v>
      </c>
      <c r="AH28" s="8">
        <v>309.25</v>
      </c>
      <c r="AI28" s="8">
        <v>309.25</v>
      </c>
      <c r="AJ28" s="8">
        <v>309.25</v>
      </c>
      <c r="AK28" s="8">
        <v>309.25</v>
      </c>
    </row>
    <row r="29">
      <c r="A29" s="7" t="s">
        <v>140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675000</v>
      </c>
      <c r="L29" s="8">
        <v>675000</v>
      </c>
      <c r="M29" s="8">
        <v>675000</v>
      </c>
      <c r="N29" s="8">
        <v>675000</v>
      </c>
      <c r="O29" s="8">
        <v>675000</v>
      </c>
      <c r="P29" s="8">
        <v>675000</v>
      </c>
      <c r="Q29" s="8">
        <v>675000</v>
      </c>
      <c r="R29" s="8">
        <v>675000</v>
      </c>
      <c r="S29" s="8">
        <v>675000</v>
      </c>
      <c r="T29" s="8">
        <v>675000</v>
      </c>
      <c r="U29" s="8">
        <v>675000</v>
      </c>
      <c r="V29" s="8">
        <v>675000</v>
      </c>
      <c r="W29" s="8">
        <v>675000</v>
      </c>
      <c r="X29" s="8">
        <v>675000</v>
      </c>
      <c r="Y29" s="8">
        <v>675000</v>
      </c>
      <c r="Z29" s="8">
        <v>675000</v>
      </c>
      <c r="AA29" s="8">
        <v>675000</v>
      </c>
      <c r="AB29" s="8">
        <v>675000</v>
      </c>
      <c r="AC29" s="8">
        <v>675000</v>
      </c>
      <c r="AD29" s="8">
        <v>675000</v>
      </c>
      <c r="AE29" s="8">
        <v>675000</v>
      </c>
      <c r="AF29" s="8">
        <v>675000</v>
      </c>
      <c r="AG29" s="8">
        <v>675000</v>
      </c>
      <c r="AH29" s="8">
        <v>675000</v>
      </c>
      <c r="AI29" s="8">
        <v>675000</v>
      </c>
      <c r="AJ29" s="8">
        <v>675000</v>
      </c>
      <c r="AK29" s="8">
        <v>675000</v>
      </c>
    </row>
    <row r="30">
      <c r="A30" s="5" t="s">
        <v>141</v>
      </c>
      <c r="B30" s="6">
        <f>SUM(B22:B29)</f>
      </c>
      <c r="C30" s="6">
        <f>SUM(C22:C29)</f>
      </c>
      <c r="D30" s="6">
        <f>SUM(D22:D29)</f>
      </c>
      <c r="E30" s="6">
        <f>SUM(E22:E29)</f>
      </c>
      <c r="F30" s="6">
        <f>SUM(F22:F29)</f>
      </c>
      <c r="G30" s="6">
        <f>SUM(G22:G29)</f>
      </c>
      <c r="H30" s="6">
        <f>SUM(H22:H29)</f>
      </c>
      <c r="I30" s="6">
        <f>SUM(I22:I29)</f>
      </c>
      <c r="J30" s="6">
        <f>SUM(J22:J29)</f>
      </c>
      <c r="K30" s="6">
        <f>SUM(K22:K29)</f>
      </c>
      <c r="L30" s="6">
        <f>SUM(L22:L29)</f>
      </c>
      <c r="M30" s="6">
        <f>SUM(M22:M29)</f>
      </c>
      <c r="N30" s="6">
        <f>SUM(N22:N29)</f>
      </c>
      <c r="O30" s="6">
        <f>SUM(O22:O29)</f>
      </c>
      <c r="P30" s="6">
        <f>SUM(P22:P29)</f>
      </c>
      <c r="Q30" s="6">
        <f>SUM(Q22:Q29)</f>
      </c>
      <c r="R30" s="6">
        <f>SUM(R22:R29)</f>
      </c>
      <c r="S30" s="6">
        <f>SUM(S22:S29)</f>
      </c>
      <c r="T30" s="6">
        <f>SUM(T22:T29)</f>
      </c>
      <c r="U30" s="6">
        <f>SUM(U22:U29)</f>
      </c>
      <c r="V30" s="6">
        <f>SUM(V22:V29)</f>
      </c>
      <c r="W30" s="6">
        <f>SUM(W22:W29)</f>
      </c>
      <c r="X30" s="6">
        <f>SUM(X22:X29)</f>
      </c>
      <c r="Y30" s="6">
        <f>SUM(Y22:Y29)</f>
      </c>
      <c r="Z30" s="6">
        <f>SUM(Z22:Z29)</f>
      </c>
      <c r="AA30" s="6">
        <f>SUM(AA22:AA29)</f>
      </c>
      <c r="AB30" s="6">
        <f>SUM(AB22:AB29)</f>
      </c>
      <c r="AC30" s="6">
        <f>SUM(AC22:AC29)</f>
      </c>
      <c r="AD30" s="6">
        <f>SUM(AD22:AD29)</f>
      </c>
      <c r="AE30" s="6">
        <f>SUM(AE22:AE29)</f>
      </c>
      <c r="AF30" s="6">
        <f>SUM(AF22:AF29)</f>
      </c>
      <c r="AG30" s="6">
        <f>SUM(AG22:AG29)</f>
      </c>
      <c r="AH30" s="6">
        <f>SUM(AH22:AH29)</f>
      </c>
      <c r="AI30" s="6">
        <f>SUM(AI22:AI29)</f>
      </c>
      <c r="AJ30" s="6">
        <f>SUM(AJ22:AJ29)</f>
      </c>
      <c r="AK30" s="6">
        <f>SUM(AK22:AK29)</f>
      </c>
    </row>
    <row r="31">
      <c r="A31" s="5" t="s">
        <v>142</v>
      </c>
      <c r="B31" s="6">
        <f>B30</f>
      </c>
      <c r="C31" s="6">
        <f>C30</f>
      </c>
      <c r="D31" s="6">
        <f>D30</f>
      </c>
      <c r="E31" s="6">
        <f>E30</f>
      </c>
      <c r="F31" s="6">
        <f>F30</f>
      </c>
      <c r="G31" s="6">
        <f>G30</f>
      </c>
      <c r="H31" s="6">
        <f>H30</f>
      </c>
      <c r="I31" s="6">
        <f>I30</f>
      </c>
      <c r="J31" s="6">
        <f>J30</f>
      </c>
      <c r="K31" s="6">
        <f>K30</f>
      </c>
      <c r="L31" s="6">
        <f>L30</f>
      </c>
      <c r="M31" s="6">
        <f>M30</f>
      </c>
      <c r="N31" s="6">
        <f>N30</f>
      </c>
      <c r="O31" s="6">
        <f>O30</f>
      </c>
      <c r="P31" s="6">
        <f>P30</f>
      </c>
      <c r="Q31" s="6">
        <f>Q30</f>
      </c>
      <c r="R31" s="6">
        <f>R30</f>
      </c>
      <c r="S31" s="6">
        <f>S30</f>
      </c>
      <c r="T31" s="6">
        <f>T30</f>
      </c>
      <c r="U31" s="6">
        <f>U30</f>
      </c>
      <c r="V31" s="6">
        <f>V30</f>
      </c>
      <c r="W31" s="6">
        <f>W30</f>
      </c>
      <c r="X31" s="6">
        <f>X30</f>
      </c>
      <c r="Y31" s="6">
        <f>Y30</f>
      </c>
      <c r="Z31" s="6">
        <f>Z30</f>
      </c>
      <c r="AA31" s="6">
        <f>AA30</f>
      </c>
      <c r="AB31" s="6">
        <f>AB30</f>
      </c>
      <c r="AC31" s="6">
        <f>AC30</f>
      </c>
      <c r="AD31" s="6">
        <f>AD30</f>
      </c>
      <c r="AE31" s="6">
        <f>AE30</f>
      </c>
      <c r="AF31" s="6">
        <f>AF30</f>
      </c>
      <c r="AG31" s="6">
        <f>AG30</f>
      </c>
      <c r="AH31" s="6">
        <f>AH30</f>
      </c>
      <c r="AI31" s="6">
        <f>AI30</f>
      </c>
      <c r="AJ31" s="6">
        <f>AJ30</f>
      </c>
      <c r="AK31" s="6">
        <f>AK30</f>
      </c>
    </row>
    <row r="32">
      <c r="A32" s="5" t="s">
        <v>143</v>
      </c>
      <c r="B32" s="6">
        <f>B20+B31</f>
      </c>
      <c r="C32" s="6">
        <f>C20+C31</f>
      </c>
      <c r="D32" s="6">
        <f>D20+D31</f>
      </c>
      <c r="E32" s="6">
        <f>E20+E31</f>
      </c>
      <c r="F32" s="6">
        <f>F20+F31</f>
      </c>
      <c r="G32" s="6">
        <f>G20+G31</f>
      </c>
      <c r="H32" s="6">
        <f>H20+H31</f>
      </c>
      <c r="I32" s="6">
        <f>I20+I31</f>
      </c>
      <c r="J32" s="6">
        <f>J20+J31</f>
      </c>
      <c r="K32" s="6">
        <f>K20+K31</f>
      </c>
      <c r="L32" s="6">
        <f>L20+L31</f>
      </c>
      <c r="M32" s="6">
        <f>M20+M31</f>
      </c>
      <c r="N32" s="6">
        <f>N20+N31</f>
      </c>
      <c r="O32" s="6">
        <f>O20+O31</f>
      </c>
      <c r="P32" s="6">
        <f>P20+P31</f>
      </c>
      <c r="Q32" s="6">
        <f>Q20+Q31</f>
      </c>
      <c r="R32" s="6">
        <f>R20+R31</f>
      </c>
      <c r="S32" s="6">
        <f>S20+S31</f>
      </c>
      <c r="T32" s="6">
        <f>T20+T31</f>
      </c>
      <c r="U32" s="6">
        <f>U20+U31</f>
      </c>
      <c r="V32" s="6">
        <f>V20+V31</f>
      </c>
      <c r="W32" s="6">
        <f>W20+W31</f>
      </c>
      <c r="X32" s="6">
        <f>X20+X31</f>
      </c>
      <c r="Y32" s="6">
        <f>Y20+Y31</f>
      </c>
      <c r="Z32" s="6">
        <f>Z20+Z31</f>
      </c>
      <c r="AA32" s="6">
        <f>AA20+AA31</f>
      </c>
      <c r="AB32" s="6">
        <f>AB20+AB31</f>
      </c>
      <c r="AC32" s="6">
        <f>AC20+AC31</f>
      </c>
      <c r="AD32" s="6">
        <f>AD20+AD31</f>
      </c>
      <c r="AE32" s="6">
        <f>AE20+AE31</f>
      </c>
      <c r="AF32" s="6">
        <f>AF20+AF31</f>
      </c>
      <c r="AG32" s="6">
        <f>AG20+AG31</f>
      </c>
      <c r="AH32" s="6">
        <f>AH20+AH31</f>
      </c>
      <c r="AI32" s="6">
        <f>AI20+AI31</f>
      </c>
      <c r="AJ32" s="6">
        <f>AJ20+AJ31</f>
      </c>
      <c r="AK32" s="6">
        <f>AK20+AK31</f>
      </c>
    </row>
    <row r="33">
      <c r="A33" s="10" t="s">
        <v>1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</row>
    <row r="34">
      <c r="A34" s="5" t="s">
        <v>144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5" t="s">
        <v>145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7" t="s">
        <v>145</v>
      </c>
      <c r="B36" s="8">
        <v>101215.44</v>
      </c>
      <c r="C36" s="8">
        <v>92089.69</v>
      </c>
      <c r="D36" s="8">
        <v>88803.63</v>
      </c>
      <c r="E36" s="8">
        <v>78924.48</v>
      </c>
      <c r="F36" s="8">
        <v>85270.23</v>
      </c>
      <c r="G36" s="8">
        <v>66177.37</v>
      </c>
      <c r="H36" s="8">
        <v>63661.77</v>
      </c>
      <c r="I36" s="8">
        <v>60316.45</v>
      </c>
      <c r="J36" s="8">
        <v>55158.45</v>
      </c>
      <c r="K36" s="8">
        <v>29025.43</v>
      </c>
      <c r="L36" s="8">
        <v>20035.59</v>
      </c>
      <c r="M36" s="8">
        <v>28190.95</v>
      </c>
      <c r="N36" s="8">
        <v>28190.95</v>
      </c>
      <c r="O36" s="8">
        <v>28190.95</v>
      </c>
      <c r="P36" s="8">
        <v>28190.95</v>
      </c>
      <c r="Q36" s="8">
        <v>28190.95</v>
      </c>
      <c r="R36" s="8">
        <v>28190.95</v>
      </c>
      <c r="S36" s="8">
        <v>28190.95</v>
      </c>
      <c r="T36" s="8">
        <v>28190.95</v>
      </c>
      <c r="U36" s="8">
        <v>28190.95</v>
      </c>
      <c r="V36" s="8">
        <v>28190.95</v>
      </c>
      <c r="W36" s="8">
        <v>28190.95</v>
      </c>
      <c r="X36" s="8">
        <v>28190.95</v>
      </c>
      <c r="Y36" s="8">
        <v>28190.95</v>
      </c>
      <c r="Z36" s="8">
        <v>28190.95</v>
      </c>
      <c r="AA36" s="8">
        <v>28190.95</v>
      </c>
      <c r="AB36" s="8">
        <v>28190.95</v>
      </c>
      <c r="AC36" s="8">
        <v>28190.95</v>
      </c>
      <c r="AD36" s="8">
        <v>28190.95</v>
      </c>
      <c r="AE36" s="8">
        <v>28190.95</v>
      </c>
      <c r="AF36" s="8">
        <v>28190.95</v>
      </c>
      <c r="AG36" s="8">
        <v>28190.95</v>
      </c>
      <c r="AH36" s="8">
        <v>28190.95</v>
      </c>
      <c r="AI36" s="8">
        <v>28190.95</v>
      </c>
      <c r="AJ36" s="8">
        <v>28190.95</v>
      </c>
      <c r="AK36" s="8">
        <v>28190.95</v>
      </c>
    </row>
    <row r="37">
      <c r="A37" s="7" t="s">
        <v>146</v>
      </c>
      <c r="B37" s="8">
        <v>91514.1</v>
      </c>
      <c r="C37" s="8">
        <v>86073.02</v>
      </c>
      <c r="D37" s="8">
        <v>80631.94</v>
      </c>
      <c r="E37" s="8">
        <v>75190.86</v>
      </c>
      <c r="F37" s="8">
        <v>69749.78</v>
      </c>
      <c r="G37" s="8">
        <v>64308.7</v>
      </c>
      <c r="H37" s="8">
        <v>58867.62</v>
      </c>
      <c r="I37" s="8">
        <v>53426.54</v>
      </c>
      <c r="J37" s="8">
        <v>53426.54</v>
      </c>
      <c r="K37" s="8">
        <v>53426.54</v>
      </c>
      <c r="L37" s="8">
        <v>47985.46</v>
      </c>
      <c r="M37" s="8">
        <v>47985.46</v>
      </c>
      <c r="N37" s="8">
        <v>39987.883333333331</v>
      </c>
      <c r="O37" s="8">
        <v>31990.306666666671</v>
      </c>
      <c r="P37" s="8">
        <v>23992.73</v>
      </c>
      <c r="Q37" s="8">
        <v>15995.153333333335</v>
      </c>
      <c r="R37" s="8">
        <v>7997.5766666666677</v>
      </c>
      <c r="S37" s="8">
        <v>-8.0000000000000009E-24</v>
      </c>
      <c r="T37" s="8">
        <v>-8.0000000000000009E-24</v>
      </c>
      <c r="U37" s="8">
        <v>-8.0000000000000009E-24</v>
      </c>
      <c r="V37" s="8">
        <v>-8.0000000000000009E-24</v>
      </c>
      <c r="W37" s="8">
        <v>-8.0000000000000009E-24</v>
      </c>
      <c r="X37" s="8">
        <v>-8.0000000000000009E-24</v>
      </c>
      <c r="Y37" s="8">
        <v>-8.0000000000000009E-24</v>
      </c>
      <c r="Z37" s="8">
        <v>-8.0000000000000009E-24</v>
      </c>
      <c r="AA37" s="8">
        <v>-8.0000000000000009E-24</v>
      </c>
      <c r="AB37" s="8">
        <v>-8.0000000000000009E-24</v>
      </c>
      <c r="AC37" s="8">
        <v>-8.0000000000000009E-24</v>
      </c>
      <c r="AD37" s="8">
        <v>-8.0000000000000009E-24</v>
      </c>
      <c r="AE37" s="8">
        <v>-8.0000000000000009E-24</v>
      </c>
      <c r="AF37" s="8">
        <v>-8.0000000000000009E-24</v>
      </c>
      <c r="AG37" s="8">
        <v>-8.0000000000000009E-24</v>
      </c>
      <c r="AH37" s="8">
        <v>-8.0000000000000009E-24</v>
      </c>
      <c r="AI37" s="8">
        <v>-8.0000000000000009E-24</v>
      </c>
      <c r="AJ37" s="8">
        <v>-8.0000000000000009E-24</v>
      </c>
      <c r="AK37" s="8">
        <v>-8.0000000000000009E-24</v>
      </c>
    </row>
    <row r="38">
      <c r="A38" s="5" t="s">
        <v>147</v>
      </c>
      <c r="B38" s="6">
        <f>SUM(B36:B37)</f>
      </c>
      <c r="C38" s="6">
        <f>SUM(C36:C37)</f>
      </c>
      <c r="D38" s="6">
        <f>SUM(D36:D37)</f>
      </c>
      <c r="E38" s="6">
        <f>SUM(E36:E37)</f>
      </c>
      <c r="F38" s="6">
        <f>SUM(F36:F37)</f>
      </c>
      <c r="G38" s="6">
        <f>SUM(G36:G37)</f>
      </c>
      <c r="H38" s="6">
        <f>SUM(H36:H37)</f>
      </c>
      <c r="I38" s="6">
        <f>SUM(I36:I37)</f>
      </c>
      <c r="J38" s="6">
        <f>SUM(J36:J37)</f>
      </c>
      <c r="K38" s="6">
        <f>SUM(K36:K37)</f>
      </c>
      <c r="L38" s="6">
        <f>SUM(L36:L37)</f>
      </c>
      <c r="M38" s="6">
        <f>SUM(M36:M37)</f>
      </c>
      <c r="N38" s="6">
        <f>SUM(N36:N37)</f>
      </c>
      <c r="O38" s="6">
        <f>SUM(O36:O37)</f>
      </c>
      <c r="P38" s="6">
        <f>SUM(P36:P37)</f>
      </c>
      <c r="Q38" s="6">
        <f>SUM(Q36:Q37)</f>
      </c>
      <c r="R38" s="6">
        <f>SUM(R36:R37)</f>
      </c>
      <c r="S38" s="6">
        <f>SUM(S36:S37)</f>
      </c>
      <c r="T38" s="6">
        <f>SUM(T36:T37)</f>
      </c>
      <c r="U38" s="6">
        <f>SUM(U36:U37)</f>
      </c>
      <c r="V38" s="6">
        <f>SUM(V36:V37)</f>
      </c>
      <c r="W38" s="6">
        <f>SUM(W36:W37)</f>
      </c>
      <c r="X38" s="6">
        <f>SUM(X36:X37)</f>
      </c>
      <c r="Y38" s="6">
        <f>SUM(Y36:Y37)</f>
      </c>
      <c r="Z38" s="6">
        <f>SUM(Z36:Z37)</f>
      </c>
      <c r="AA38" s="6">
        <f>SUM(AA36:AA37)</f>
      </c>
      <c r="AB38" s="6">
        <f>SUM(AB36:AB37)</f>
      </c>
      <c r="AC38" s="6">
        <f>SUM(AC36:AC37)</f>
      </c>
      <c r="AD38" s="6">
        <f>SUM(AD36:AD37)</f>
      </c>
      <c r="AE38" s="6">
        <f>SUM(AE36:AE37)</f>
      </c>
      <c r="AF38" s="6">
        <f>SUM(AF36:AF37)</f>
      </c>
      <c r="AG38" s="6">
        <f>SUM(AG36:AG37)</f>
      </c>
      <c r="AH38" s="6">
        <f>SUM(AH36:AH37)</f>
      </c>
      <c r="AI38" s="6">
        <f>SUM(AI36:AI37)</f>
      </c>
      <c r="AJ38" s="6">
        <f>SUM(AJ36:AJ37)</f>
      </c>
      <c r="AK38" s="6">
        <f>SUM(AK36:AK37)</f>
      </c>
    </row>
    <row r="39">
      <c r="A39" s="5" t="s">
        <v>148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7" t="s">
        <v>149</v>
      </c>
      <c r="B40" s="8">
        <v>0</v>
      </c>
      <c r="C40" s="8">
        <v>0</v>
      </c>
      <c r="D40" s="8">
        <v>-9.12</v>
      </c>
      <c r="E40" s="8">
        <v>-9.12</v>
      </c>
      <c r="F40" s="8">
        <v>-9.12</v>
      </c>
      <c r="G40" s="8">
        <v>-9.12</v>
      </c>
      <c r="H40" s="8">
        <v>-9.12</v>
      </c>
      <c r="I40" s="8">
        <v>-9.12</v>
      </c>
      <c r="J40" s="8">
        <v>-9.12</v>
      </c>
      <c r="K40" s="8">
        <v>-9.12</v>
      </c>
      <c r="L40" s="8">
        <v>-9.12</v>
      </c>
      <c r="M40" s="8">
        <v>-9.12</v>
      </c>
      <c r="N40" s="8">
        <v>-9.12</v>
      </c>
      <c r="O40" s="8">
        <v>-9.12</v>
      </c>
      <c r="P40" s="8">
        <v>-9.12</v>
      </c>
      <c r="Q40" s="8">
        <v>-9.12</v>
      </c>
      <c r="R40" s="8">
        <v>-9.12</v>
      </c>
      <c r="S40" s="8">
        <v>-9.12</v>
      </c>
      <c r="T40" s="8">
        <v>-9.12</v>
      </c>
      <c r="U40" s="8">
        <v>-9.12</v>
      </c>
      <c r="V40" s="8">
        <v>-9.12</v>
      </c>
      <c r="W40" s="8">
        <v>-9.12</v>
      </c>
      <c r="X40" s="8">
        <v>-9.12</v>
      </c>
      <c r="Y40" s="8">
        <v>-9.12</v>
      </c>
      <c r="Z40" s="8">
        <v>-9.12</v>
      </c>
      <c r="AA40" s="8">
        <v>-9.12</v>
      </c>
      <c r="AB40" s="8">
        <v>-9.12</v>
      </c>
      <c r="AC40" s="8">
        <v>-9.12</v>
      </c>
      <c r="AD40" s="8">
        <v>-9.12</v>
      </c>
      <c r="AE40" s="8">
        <v>-9.12</v>
      </c>
      <c r="AF40" s="8">
        <v>-9.12</v>
      </c>
      <c r="AG40" s="8">
        <v>-9.12</v>
      </c>
      <c r="AH40" s="8">
        <v>-9.12</v>
      </c>
      <c r="AI40" s="8">
        <v>-9.12</v>
      </c>
      <c r="AJ40" s="8">
        <v>-9.12</v>
      </c>
      <c r="AK40" s="8">
        <v>-9.12</v>
      </c>
    </row>
    <row r="41">
      <c r="A41" s="5" t="s">
        <v>150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7" t="s">
        <v>151</v>
      </c>
      <c r="B42" s="8">
        <v>0</v>
      </c>
      <c r="C42" s="8">
        <v>0</v>
      </c>
      <c r="D42" s="8">
        <v>0</v>
      </c>
      <c r="E42" s="8">
        <v>111.78</v>
      </c>
      <c r="F42" s="8">
        <v>111.78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</row>
    <row r="43">
      <c r="A43" s="7" t="s">
        <v>152</v>
      </c>
      <c r="B43" s="8">
        <v>1656.38</v>
      </c>
      <c r="C43" s="8">
        <v>1656.38</v>
      </c>
      <c r="D43" s="8">
        <v>1656.38</v>
      </c>
      <c r="E43" s="8">
        <v>1656.38</v>
      </c>
      <c r="F43" s="8">
        <v>1601.37</v>
      </c>
      <c r="G43" s="8">
        <v>1601.37</v>
      </c>
      <c r="H43" s="8">
        <v>1601.37</v>
      </c>
      <c r="I43" s="8">
        <v>1601.37</v>
      </c>
      <c r="J43" s="8">
        <v>1601.37</v>
      </c>
      <c r="K43" s="8">
        <v>1601.37</v>
      </c>
      <c r="L43" s="8">
        <v>1601.37</v>
      </c>
      <c r="M43" s="8">
        <v>1601.37</v>
      </c>
      <c r="N43" s="8">
        <v>1601.37</v>
      </c>
      <c r="O43" s="8">
        <v>1601.37</v>
      </c>
      <c r="P43" s="8">
        <v>1601.37</v>
      </c>
      <c r="Q43" s="8">
        <v>1601.37</v>
      </c>
      <c r="R43" s="8">
        <v>1601.37</v>
      </c>
      <c r="S43" s="8">
        <v>1601.37</v>
      </c>
      <c r="T43" s="8">
        <v>1601.37</v>
      </c>
      <c r="U43" s="8">
        <v>1601.37</v>
      </c>
      <c r="V43" s="8">
        <v>1601.37</v>
      </c>
      <c r="W43" s="8">
        <v>1601.37</v>
      </c>
      <c r="X43" s="8">
        <v>1601.37</v>
      </c>
      <c r="Y43" s="8">
        <v>1601.37</v>
      </c>
      <c r="Z43" s="8">
        <v>1601.37</v>
      </c>
      <c r="AA43" s="8">
        <v>1601.37</v>
      </c>
      <c r="AB43" s="8">
        <v>1601.37</v>
      </c>
      <c r="AC43" s="8">
        <v>1601.37</v>
      </c>
      <c r="AD43" s="8">
        <v>1601.37</v>
      </c>
      <c r="AE43" s="8">
        <v>1601.37</v>
      </c>
      <c r="AF43" s="8">
        <v>1601.37</v>
      </c>
      <c r="AG43" s="8">
        <v>1601.37</v>
      </c>
      <c r="AH43" s="8">
        <v>1601.37</v>
      </c>
      <c r="AI43" s="8">
        <v>1601.37</v>
      </c>
      <c r="AJ43" s="8">
        <v>1601.37</v>
      </c>
      <c r="AK43" s="8">
        <v>1601.37</v>
      </c>
    </row>
    <row r="44">
      <c r="A44" s="7" t="s">
        <v>153</v>
      </c>
      <c r="B44" s="8">
        <v>-8.04</v>
      </c>
      <c r="C44" s="8">
        <v>-8.58</v>
      </c>
      <c r="D44" s="8">
        <v>-8.5</v>
      </c>
      <c r="E44" s="8">
        <v>-8.5</v>
      </c>
      <c r="F44" s="8">
        <v>-8.5</v>
      </c>
      <c r="G44" s="8">
        <v>-8.5</v>
      </c>
      <c r="H44" s="8">
        <v>-8.5</v>
      </c>
      <c r="I44" s="8">
        <v>-8.5</v>
      </c>
      <c r="J44" s="8">
        <v>-8.5</v>
      </c>
      <c r="K44" s="8">
        <v>-8.5</v>
      </c>
      <c r="L44" s="8">
        <v>-8.5</v>
      </c>
      <c r="M44" s="8">
        <v>-8.5</v>
      </c>
      <c r="N44" s="8">
        <v>-8.5</v>
      </c>
      <c r="O44" s="8">
        <v>-8.5</v>
      </c>
      <c r="P44" s="8">
        <v>-8.5</v>
      </c>
      <c r="Q44" s="8">
        <v>-8.5</v>
      </c>
      <c r="R44" s="8">
        <v>-8.5</v>
      </c>
      <c r="S44" s="8">
        <v>-8.5</v>
      </c>
      <c r="T44" s="8">
        <v>-8.5</v>
      </c>
      <c r="U44" s="8">
        <v>-8.5</v>
      </c>
      <c r="V44" s="8">
        <v>-8.5</v>
      </c>
      <c r="W44" s="8">
        <v>-8.5</v>
      </c>
      <c r="X44" s="8">
        <v>-8.5</v>
      </c>
      <c r="Y44" s="8">
        <v>-8.5</v>
      </c>
      <c r="Z44" s="8">
        <v>-8.5</v>
      </c>
      <c r="AA44" s="8">
        <v>-8.5</v>
      </c>
      <c r="AB44" s="8">
        <v>-8.5</v>
      </c>
      <c r="AC44" s="8">
        <v>-8.5</v>
      </c>
      <c r="AD44" s="8">
        <v>-8.5</v>
      </c>
      <c r="AE44" s="8">
        <v>-8.5</v>
      </c>
      <c r="AF44" s="8">
        <v>-8.5</v>
      </c>
      <c r="AG44" s="8">
        <v>-8.5</v>
      </c>
      <c r="AH44" s="8">
        <v>-8.5</v>
      </c>
      <c r="AI44" s="8">
        <v>-8.5</v>
      </c>
      <c r="AJ44" s="8">
        <v>-8.5</v>
      </c>
      <c r="AK44" s="8">
        <v>-8.5</v>
      </c>
    </row>
    <row r="45">
      <c r="A45" s="7" t="s">
        <v>154</v>
      </c>
      <c r="B45" s="8">
        <v>7675.2</v>
      </c>
      <c r="C45" s="8">
        <v>7675.2</v>
      </c>
      <c r="D45" s="8">
        <v>7675.2</v>
      </c>
      <c r="E45" s="8">
        <v>7675.2</v>
      </c>
      <c r="F45" s="8">
        <v>7675.2</v>
      </c>
      <c r="G45" s="8">
        <v>7675.2</v>
      </c>
      <c r="H45" s="8">
        <v>7675.2</v>
      </c>
      <c r="I45" s="8">
        <v>7675.2</v>
      </c>
      <c r="J45" s="8">
        <v>7675.2</v>
      </c>
      <c r="K45" s="8">
        <v>7675.2</v>
      </c>
      <c r="L45" s="8">
        <v>7675.2</v>
      </c>
      <c r="M45" s="8">
        <v>7675.2</v>
      </c>
      <c r="N45" s="8">
        <v>7675.2</v>
      </c>
      <c r="O45" s="8">
        <v>7675.2</v>
      </c>
      <c r="P45" s="8">
        <v>7675.2</v>
      </c>
      <c r="Q45" s="8">
        <v>7675.2</v>
      </c>
      <c r="R45" s="8">
        <v>7675.2</v>
      </c>
      <c r="S45" s="8">
        <v>7675.2</v>
      </c>
      <c r="T45" s="8">
        <v>7675.2</v>
      </c>
      <c r="U45" s="8">
        <v>7675.2</v>
      </c>
      <c r="V45" s="8">
        <v>7675.2</v>
      </c>
      <c r="W45" s="8">
        <v>7675.2</v>
      </c>
      <c r="X45" s="8">
        <v>7675.2</v>
      </c>
      <c r="Y45" s="8">
        <v>7675.2</v>
      </c>
      <c r="Z45" s="8">
        <v>7675.2</v>
      </c>
      <c r="AA45" s="8">
        <v>7675.2</v>
      </c>
      <c r="AB45" s="8">
        <v>7675.2</v>
      </c>
      <c r="AC45" s="8">
        <v>7675.2</v>
      </c>
      <c r="AD45" s="8">
        <v>7675.2</v>
      </c>
      <c r="AE45" s="8">
        <v>7675.2</v>
      </c>
      <c r="AF45" s="8">
        <v>7675.2</v>
      </c>
      <c r="AG45" s="8">
        <v>7675.2</v>
      </c>
      <c r="AH45" s="8">
        <v>7675.2</v>
      </c>
      <c r="AI45" s="8">
        <v>7675.2</v>
      </c>
      <c r="AJ45" s="8">
        <v>7675.2</v>
      </c>
      <c r="AK45" s="8">
        <v>7675.2</v>
      </c>
    </row>
    <row r="46">
      <c r="A46" s="7" t="s">
        <v>155</v>
      </c>
      <c r="B46" s="8">
        <v>212195.56</v>
      </c>
      <c r="C46" s="8">
        <v>212195.56</v>
      </c>
      <c r="D46" s="8">
        <v>212195.56</v>
      </c>
      <c r="E46" s="8">
        <v>212195.56</v>
      </c>
      <c r="F46" s="8">
        <v>212195.56</v>
      </c>
      <c r="G46" s="8">
        <v>212195.56</v>
      </c>
      <c r="H46" s="8">
        <v>212195.56</v>
      </c>
      <c r="I46" s="8">
        <v>212195.56</v>
      </c>
      <c r="J46" s="8">
        <v>212195.56</v>
      </c>
      <c r="K46" s="8">
        <v>212195.56</v>
      </c>
      <c r="L46" s="8">
        <v>212195.56</v>
      </c>
      <c r="M46" s="8">
        <v>212195.56</v>
      </c>
      <c r="N46" s="8">
        <v>212195.56</v>
      </c>
      <c r="O46" s="8">
        <v>212195.56</v>
      </c>
      <c r="P46" s="8">
        <v>212195.56</v>
      </c>
      <c r="Q46" s="8">
        <v>212195.56</v>
      </c>
      <c r="R46" s="8">
        <v>212195.56</v>
      </c>
      <c r="S46" s="8">
        <v>212195.56</v>
      </c>
      <c r="T46" s="8">
        <v>212195.56</v>
      </c>
      <c r="U46" s="8">
        <v>212195.56</v>
      </c>
      <c r="V46" s="8">
        <v>212195.56</v>
      </c>
      <c r="W46" s="8">
        <v>212195.56</v>
      </c>
      <c r="X46" s="8">
        <v>212195.56</v>
      </c>
      <c r="Y46" s="8">
        <v>212195.56</v>
      </c>
      <c r="Z46" s="8">
        <v>212195.56</v>
      </c>
      <c r="AA46" s="8">
        <v>212195.56</v>
      </c>
      <c r="AB46" s="8">
        <v>212195.56</v>
      </c>
      <c r="AC46" s="8">
        <v>212195.56</v>
      </c>
      <c r="AD46" s="8">
        <v>212195.56</v>
      </c>
      <c r="AE46" s="8">
        <v>212195.56</v>
      </c>
      <c r="AF46" s="8">
        <v>212195.56</v>
      </c>
      <c r="AG46" s="8">
        <v>212195.56</v>
      </c>
      <c r="AH46" s="8">
        <v>212195.56</v>
      </c>
      <c r="AI46" s="8">
        <v>212195.56</v>
      </c>
      <c r="AJ46" s="8">
        <v>212195.56</v>
      </c>
      <c r="AK46" s="8">
        <v>212195.56</v>
      </c>
    </row>
    <row r="47">
      <c r="A47" s="7" t="s">
        <v>156</v>
      </c>
      <c r="B47" s="8">
        <v>9663.13</v>
      </c>
      <c r="C47" s="8">
        <v>5065.55</v>
      </c>
      <c r="D47" s="8">
        <v>5065.55</v>
      </c>
      <c r="E47" s="8">
        <v>1.86</v>
      </c>
      <c r="F47" s="8">
        <v>1.86</v>
      </c>
      <c r="G47" s="8">
        <v>1.86</v>
      </c>
      <c r="H47" s="8">
        <v>1.86</v>
      </c>
      <c r="I47" s="8">
        <v>1.86</v>
      </c>
      <c r="J47" s="8">
        <v>1.86</v>
      </c>
      <c r="K47" s="8">
        <v>1.86</v>
      </c>
      <c r="L47" s="8">
        <v>1.86</v>
      </c>
      <c r="M47" s="8">
        <v>1.86</v>
      </c>
      <c r="N47" s="8">
        <v>1.86</v>
      </c>
      <c r="O47" s="8">
        <v>1.86</v>
      </c>
      <c r="P47" s="8">
        <v>1.86</v>
      </c>
      <c r="Q47" s="8">
        <v>1.86</v>
      </c>
      <c r="R47" s="8">
        <v>1.86</v>
      </c>
      <c r="S47" s="8">
        <v>1.86</v>
      </c>
      <c r="T47" s="8">
        <v>1.86</v>
      </c>
      <c r="U47" s="8">
        <v>1.86</v>
      </c>
      <c r="V47" s="8">
        <v>1.86</v>
      </c>
      <c r="W47" s="8">
        <v>1.86</v>
      </c>
      <c r="X47" s="8">
        <v>1.86</v>
      </c>
      <c r="Y47" s="8">
        <v>1.86</v>
      </c>
      <c r="Z47" s="8">
        <v>1.86</v>
      </c>
      <c r="AA47" s="8">
        <v>1.86</v>
      </c>
      <c r="AB47" s="8">
        <v>1.86</v>
      </c>
      <c r="AC47" s="8">
        <v>1.86</v>
      </c>
      <c r="AD47" s="8">
        <v>1.86</v>
      </c>
      <c r="AE47" s="8">
        <v>1.86</v>
      </c>
      <c r="AF47" s="8">
        <v>1.86</v>
      </c>
      <c r="AG47" s="8">
        <v>1.86</v>
      </c>
      <c r="AH47" s="8">
        <v>1.86</v>
      </c>
      <c r="AI47" s="8">
        <v>1.86</v>
      </c>
      <c r="AJ47" s="8">
        <v>1.86</v>
      </c>
      <c r="AK47" s="8">
        <v>1.86</v>
      </c>
    </row>
    <row r="48">
      <c r="A48" s="5" t="s">
        <v>157</v>
      </c>
      <c r="B48" s="6">
        <f>SUM(B42:B47)</f>
      </c>
      <c r="C48" s="6">
        <f>SUM(C42:C47)</f>
      </c>
      <c r="D48" s="6">
        <f>SUM(D42:D47)</f>
      </c>
      <c r="E48" s="6">
        <f>SUM(E42:E47)</f>
      </c>
      <c r="F48" s="6">
        <f>SUM(F42:F47)</f>
      </c>
      <c r="G48" s="6">
        <f>SUM(G42:G47)</f>
      </c>
      <c r="H48" s="6">
        <f>SUM(H42:H47)</f>
      </c>
      <c r="I48" s="6">
        <f>SUM(I42:I47)</f>
      </c>
      <c r="J48" s="6">
        <f>SUM(J42:J47)</f>
      </c>
      <c r="K48" s="6">
        <f>SUM(K42:K47)</f>
      </c>
      <c r="L48" s="6">
        <f>SUM(L42:L47)</f>
      </c>
      <c r="M48" s="6">
        <f>SUM(M42:M47)</f>
      </c>
      <c r="N48" s="6">
        <f>SUM(N42:N47)</f>
      </c>
      <c r="O48" s="6">
        <f>SUM(O42:O47)</f>
      </c>
      <c r="P48" s="6">
        <f>SUM(P42:P47)</f>
      </c>
      <c r="Q48" s="6">
        <f>SUM(Q42:Q47)</f>
      </c>
      <c r="R48" s="6">
        <f>SUM(R42:R47)</f>
      </c>
      <c r="S48" s="6">
        <f>SUM(S42:S47)</f>
      </c>
      <c r="T48" s="6">
        <f>SUM(T42:T47)</f>
      </c>
      <c r="U48" s="6">
        <f>SUM(U42:U47)</f>
      </c>
      <c r="V48" s="6">
        <f>SUM(V42:V47)</f>
      </c>
      <c r="W48" s="6">
        <f>SUM(W42:W47)</f>
      </c>
      <c r="X48" s="6">
        <f>SUM(X42:X47)</f>
      </c>
      <c r="Y48" s="6">
        <f>SUM(Y42:Y47)</f>
      </c>
      <c r="Z48" s="6">
        <f>SUM(Z42:Z47)</f>
      </c>
      <c r="AA48" s="6">
        <f>SUM(AA42:AA47)</f>
      </c>
      <c r="AB48" s="6">
        <f>SUM(AB42:AB47)</f>
      </c>
      <c r="AC48" s="6">
        <f>SUM(AC42:AC47)</f>
      </c>
      <c r="AD48" s="6">
        <f>SUM(AD42:AD47)</f>
      </c>
      <c r="AE48" s="6">
        <f>SUM(AE42:AE47)</f>
      </c>
      <c r="AF48" s="6">
        <f>SUM(AF42:AF47)</f>
      </c>
      <c r="AG48" s="6">
        <f>SUM(AG42:AG47)</f>
      </c>
      <c r="AH48" s="6">
        <f>SUM(AH42:AH47)</f>
      </c>
      <c r="AI48" s="6">
        <f>SUM(AI42:AI47)</f>
      </c>
      <c r="AJ48" s="6">
        <f>SUM(AJ42:AJ47)</f>
      </c>
      <c r="AK48" s="6">
        <f>SUM(AK42:AK47)</f>
      </c>
    </row>
    <row r="49">
      <c r="A49" s="5" t="s">
        <v>158</v>
      </c>
      <c r="B49" s="6">
        <f>0+B38+SUM(B40)+B48</f>
      </c>
      <c r="C49" s="6">
        <f>0+C38+SUM(C40)+C48</f>
      </c>
      <c r="D49" s="6">
        <f>0+D38+SUM(D40)+D48</f>
      </c>
      <c r="E49" s="6">
        <f>0+E38+SUM(E40)+E48</f>
      </c>
      <c r="F49" s="6">
        <f>0+F38+SUM(F40)+F48</f>
      </c>
      <c r="G49" s="6">
        <f>0+G38+SUM(G40)+G48</f>
      </c>
      <c r="H49" s="6">
        <f>0+H38+SUM(H40)+H48</f>
      </c>
      <c r="I49" s="6">
        <f>0+I38+SUM(I40)+I48</f>
      </c>
      <c r="J49" s="6">
        <f>0+J38+SUM(J40)+J48</f>
      </c>
      <c r="K49" s="6">
        <f>0+K38+SUM(K40)+K48</f>
      </c>
      <c r="L49" s="6">
        <f>0+L38+SUM(L40)+L48</f>
      </c>
      <c r="M49" s="6">
        <f>0+M38+SUM(M40)+M48</f>
      </c>
      <c r="N49" s="6">
        <f>0+N38+SUM(N40)+N48</f>
      </c>
      <c r="O49" s="6">
        <f>0+O38+SUM(O40)+O48</f>
      </c>
      <c r="P49" s="6">
        <f>0+P38+SUM(P40)+P48</f>
      </c>
      <c r="Q49" s="6">
        <f>0+Q38+SUM(Q40)+Q48</f>
      </c>
      <c r="R49" s="6">
        <f>0+R38+SUM(R40)+R48</f>
      </c>
      <c r="S49" s="6">
        <f>0+S38+SUM(S40)+S48</f>
      </c>
      <c r="T49" s="6">
        <f>0+T38+SUM(T40)+T48</f>
      </c>
      <c r="U49" s="6">
        <f>0+U38+SUM(U40)+U48</f>
      </c>
      <c r="V49" s="6">
        <f>0+V38+SUM(V40)+V48</f>
      </c>
      <c r="W49" s="6">
        <f>0+W38+SUM(W40)+W48</f>
      </c>
      <c r="X49" s="6">
        <f>0+X38+SUM(X40)+X48</f>
      </c>
      <c r="Y49" s="6">
        <f>0+Y38+SUM(Y40)+Y48</f>
      </c>
      <c r="Z49" s="6">
        <f>0+Z38+SUM(Z40)+Z48</f>
      </c>
      <c r="AA49" s="6">
        <f>0+AA38+SUM(AA40)+AA48</f>
      </c>
      <c r="AB49" s="6">
        <f>0+AB38+SUM(AB40)+AB48</f>
      </c>
      <c r="AC49" s="6">
        <f>0+AC38+SUM(AC40)+AC48</f>
      </c>
      <c r="AD49" s="6">
        <f>0+AD38+SUM(AD40)+AD48</f>
      </c>
      <c r="AE49" s="6">
        <f>0+AE38+SUM(AE40)+AE48</f>
      </c>
      <c r="AF49" s="6">
        <f>0+AF38+SUM(AF40)+AF48</f>
      </c>
      <c r="AG49" s="6">
        <f>0+AG38+SUM(AG40)+AG48</f>
      </c>
      <c r="AH49" s="6">
        <f>0+AH38+SUM(AH40)+AH48</f>
      </c>
      <c r="AI49" s="6">
        <f>0+AI38+SUM(AI40)+AI48</f>
      </c>
      <c r="AJ49" s="6">
        <f>0+AJ38+SUM(AJ40)+AJ48</f>
      </c>
      <c r="AK49" s="6">
        <f>0+AK38+SUM(AK40)+AK48</f>
      </c>
    </row>
    <row r="50">
      <c r="A50" s="5" t="s">
        <v>159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7" t="s">
        <v>160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40000</v>
      </c>
      <c r="O51" s="8">
        <v>39448.48205617506</v>
      </c>
      <c r="P51" s="8">
        <v>38893.517125201208</v>
      </c>
      <c r="Q51" s="8">
        <v>38335.083663408768</v>
      </c>
      <c r="R51" s="8">
        <v>37773.159992480134</v>
      </c>
      <c r="S51" s="8">
        <v>37207.724298608184</v>
      </c>
      <c r="T51" s="8">
        <v>36638.754631649543</v>
      </c>
      <c r="U51" s="8">
        <v>36066.228904272408</v>
      </c>
      <c r="V51" s="8">
        <v>35490.124891099171</v>
      </c>
      <c r="W51" s="8">
        <v>34910.4202278436</v>
      </c>
      <c r="X51" s="8">
        <v>34327.092410442674</v>
      </c>
      <c r="Y51" s="8">
        <v>33740.118794182992</v>
      </c>
      <c r="Z51" s="8">
        <v>33149.476592821695</v>
      </c>
      <c r="AA51" s="8">
        <v>32555.142877701885</v>
      </c>
      <c r="AB51" s="8">
        <v>31957.094576862579</v>
      </c>
      <c r="AC51" s="8">
        <v>31355.308474143025</v>
      </c>
      <c r="AD51" s="8">
        <v>30749.761208281474</v>
      </c>
      <c r="AE51" s="8">
        <v>30140.429272008289</v>
      </c>
      <c r="AF51" s="8">
        <v>29527.289011133398</v>
      </c>
      <c r="AG51" s="8">
        <v>28910.316623628038</v>
      </c>
      <c r="AH51" s="8">
        <v>28289.488158700769</v>
      </c>
      <c r="AI51" s="8">
        <v>27664.779515867704</v>
      </c>
      <c r="AJ51" s="8">
        <v>27036.166444016937</v>
      </c>
      <c r="AK51" s="8">
        <v>26403.6245404671</v>
      </c>
    </row>
    <row r="52">
      <c r="A52" s="7" t="s">
        <v>161</v>
      </c>
      <c r="B52" s="8">
        <v>160031.9</v>
      </c>
      <c r="C52" s="8">
        <v>160031.9</v>
      </c>
      <c r="D52" s="8">
        <v>160031.9</v>
      </c>
      <c r="E52" s="8">
        <v>160031.9</v>
      </c>
      <c r="F52" s="8">
        <v>160031.9</v>
      </c>
      <c r="G52" s="8">
        <v>160031.9</v>
      </c>
      <c r="H52" s="8">
        <v>160031.9</v>
      </c>
      <c r="I52" s="8">
        <v>160031.9</v>
      </c>
      <c r="J52" s="8">
        <v>160031.9</v>
      </c>
      <c r="K52" s="8">
        <v>160031.9</v>
      </c>
      <c r="L52" s="8">
        <v>160031.9</v>
      </c>
      <c r="M52" s="8">
        <v>160031.9</v>
      </c>
      <c r="N52" s="8">
        <v>160031.9</v>
      </c>
      <c r="O52" s="8">
        <v>160031.9</v>
      </c>
      <c r="P52" s="8">
        <v>160031.9</v>
      </c>
      <c r="Q52" s="8">
        <v>160031.9</v>
      </c>
      <c r="R52" s="8">
        <v>160031.9</v>
      </c>
      <c r="S52" s="8">
        <v>160031.9</v>
      </c>
      <c r="T52" s="8">
        <v>160031.9</v>
      </c>
      <c r="U52" s="8">
        <v>160031.9</v>
      </c>
      <c r="V52" s="8">
        <v>160031.9</v>
      </c>
      <c r="W52" s="8">
        <v>160031.9</v>
      </c>
      <c r="X52" s="8">
        <v>160031.9</v>
      </c>
      <c r="Y52" s="8">
        <v>80031.9</v>
      </c>
      <c r="Z52" s="8">
        <v>80031.9</v>
      </c>
      <c r="AA52" s="8">
        <v>80031.9</v>
      </c>
      <c r="AB52" s="8">
        <v>80031.9</v>
      </c>
      <c r="AC52" s="8">
        <v>80031.9</v>
      </c>
      <c r="AD52" s="8">
        <v>80031.9</v>
      </c>
      <c r="AE52" s="8">
        <v>-0.1</v>
      </c>
      <c r="AF52" s="8">
        <v>-0.1</v>
      </c>
      <c r="AG52" s="8">
        <v>-0.1</v>
      </c>
      <c r="AH52" s="8">
        <v>-0.1</v>
      </c>
      <c r="AI52" s="8">
        <v>-0.1</v>
      </c>
      <c r="AJ52" s="8">
        <v>-0.1</v>
      </c>
      <c r="AK52" s="8">
        <v>-0.1</v>
      </c>
    </row>
    <row r="53">
      <c r="A53" s="5" t="s">
        <v>162</v>
      </c>
      <c r="B53" s="6">
        <f>SUM(B51:B52)</f>
      </c>
      <c r="C53" s="6">
        <f>SUM(C51:C52)</f>
      </c>
      <c r="D53" s="6">
        <f>SUM(D51:D52)</f>
      </c>
      <c r="E53" s="6">
        <f>SUM(E51:E52)</f>
      </c>
      <c r="F53" s="6">
        <f>SUM(F51:F52)</f>
      </c>
      <c r="G53" s="6">
        <f>SUM(G51:G52)</f>
      </c>
      <c r="H53" s="6">
        <f>SUM(H51:H52)</f>
      </c>
      <c r="I53" s="6">
        <f>SUM(I51:I52)</f>
      </c>
      <c r="J53" s="6">
        <f>SUM(J51:J52)</f>
      </c>
      <c r="K53" s="6">
        <f>SUM(K51:K52)</f>
      </c>
      <c r="L53" s="6">
        <f>SUM(L51:L52)</f>
      </c>
      <c r="M53" s="6">
        <f>SUM(M51:M52)</f>
      </c>
      <c r="N53" s="6">
        <f>SUM(N51:N52)</f>
      </c>
      <c r="O53" s="6">
        <f>SUM(O51:O52)</f>
      </c>
      <c r="P53" s="6">
        <f>SUM(P51:P52)</f>
      </c>
      <c r="Q53" s="6">
        <f>SUM(Q51:Q52)</f>
      </c>
      <c r="R53" s="6">
        <f>SUM(R51:R52)</f>
      </c>
      <c r="S53" s="6">
        <f>SUM(S51:S52)</f>
      </c>
      <c r="T53" s="6">
        <f>SUM(T51:T52)</f>
      </c>
      <c r="U53" s="6">
        <f>SUM(U51:U52)</f>
      </c>
      <c r="V53" s="6">
        <f>SUM(V51:V52)</f>
      </c>
      <c r="W53" s="6">
        <f>SUM(W51:W52)</f>
      </c>
      <c r="X53" s="6">
        <f>SUM(X51:X52)</f>
      </c>
      <c r="Y53" s="6">
        <f>SUM(Y51:Y52)</f>
      </c>
      <c r="Z53" s="6">
        <f>SUM(Z51:Z52)</f>
      </c>
      <c r="AA53" s="6">
        <f>SUM(AA51:AA52)</f>
      </c>
      <c r="AB53" s="6">
        <f>SUM(AB51:AB52)</f>
      </c>
      <c r="AC53" s="6">
        <f>SUM(AC51:AC52)</f>
      </c>
      <c r="AD53" s="6">
        <f>SUM(AD51:AD52)</f>
      </c>
      <c r="AE53" s="6">
        <f>SUM(AE51:AE52)</f>
      </c>
      <c r="AF53" s="6">
        <f>SUM(AF51:AF52)</f>
      </c>
      <c r="AG53" s="6">
        <f>SUM(AG51:AG52)</f>
      </c>
      <c r="AH53" s="6">
        <f>SUM(AH51:AH52)</f>
      </c>
      <c r="AI53" s="6">
        <f>SUM(AI51:AI52)</f>
      </c>
      <c r="AJ53" s="6">
        <f>SUM(AJ51:AJ52)</f>
      </c>
      <c r="AK53" s="6">
        <f>SUM(AK51:AK52)</f>
      </c>
    </row>
    <row r="54">
      <c r="A54" s="5" t="s">
        <v>163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7" t="s">
        <v>164</v>
      </c>
      <c r="B55" s="8">
        <v>14616.95</v>
      </c>
      <c r="C55" s="8">
        <v>14616.95</v>
      </c>
      <c r="D55" s="8">
        <v>14616.95</v>
      </c>
      <c r="E55" s="8">
        <v>14616.95</v>
      </c>
      <c r="F55" s="8">
        <v>14616.95</v>
      </c>
      <c r="G55" s="8">
        <v>14616.95</v>
      </c>
      <c r="H55" s="8">
        <v>14616.95</v>
      </c>
      <c r="I55" s="8">
        <v>14616.95</v>
      </c>
      <c r="J55" s="8">
        <v>746.2</v>
      </c>
      <c r="K55" s="8">
        <v>746.2</v>
      </c>
      <c r="L55" s="8">
        <v>-4878.8</v>
      </c>
      <c r="M55" s="8">
        <v>-4878.8</v>
      </c>
      <c r="N55" s="8">
        <v>-4878.8</v>
      </c>
      <c r="O55" s="8">
        <v>-4878.8</v>
      </c>
      <c r="P55" s="8">
        <v>-4878.8</v>
      </c>
      <c r="Q55" s="8">
        <v>-4878.8</v>
      </c>
      <c r="R55" s="8">
        <v>-4878.8</v>
      </c>
      <c r="S55" s="8">
        <v>-4878.8</v>
      </c>
      <c r="T55" s="8">
        <v>-4878.8</v>
      </c>
      <c r="U55" s="8">
        <v>-4878.8</v>
      </c>
      <c r="V55" s="8">
        <v>-4878.8</v>
      </c>
      <c r="W55" s="8">
        <v>-4878.8</v>
      </c>
      <c r="X55" s="8">
        <v>-4878.8</v>
      </c>
      <c r="Y55" s="8">
        <v>-4878.8</v>
      </c>
      <c r="Z55" s="8">
        <v>-4878.8</v>
      </c>
      <c r="AA55" s="8">
        <v>-4878.8</v>
      </c>
      <c r="AB55" s="8">
        <v>-4878.8</v>
      </c>
      <c r="AC55" s="8">
        <v>-4878.8</v>
      </c>
      <c r="AD55" s="8">
        <v>-4878.8</v>
      </c>
      <c r="AE55" s="8">
        <v>-4878.8</v>
      </c>
      <c r="AF55" s="8">
        <v>-4878.8</v>
      </c>
      <c r="AG55" s="8">
        <v>-4878.8</v>
      </c>
      <c r="AH55" s="8">
        <v>-4878.8</v>
      </c>
      <c r="AI55" s="8">
        <v>-4878.8</v>
      </c>
      <c r="AJ55" s="8">
        <v>-4878.8</v>
      </c>
      <c r="AK55" s="8">
        <v>-4878.8</v>
      </c>
    </row>
    <row r="56">
      <c r="A56" s="5" t="s">
        <v>165</v>
      </c>
      <c r="B56" s="6">
        <f>B53+SUM(B55)</f>
      </c>
      <c r="C56" s="6">
        <f>C53+SUM(C55)</f>
      </c>
      <c r="D56" s="6">
        <f>D53+SUM(D55)</f>
      </c>
      <c r="E56" s="6">
        <f>E53+SUM(E55)</f>
      </c>
      <c r="F56" s="6">
        <f>F53+SUM(F55)</f>
      </c>
      <c r="G56" s="6">
        <f>G53+SUM(G55)</f>
      </c>
      <c r="H56" s="6">
        <f>H53+SUM(H55)</f>
      </c>
      <c r="I56" s="6">
        <f>I53+SUM(I55)</f>
      </c>
      <c r="J56" s="6">
        <f>J53+SUM(J55)</f>
      </c>
      <c r="K56" s="6">
        <f>K53+SUM(K55)</f>
      </c>
      <c r="L56" s="6">
        <f>L53+SUM(L55)</f>
      </c>
      <c r="M56" s="6">
        <f>M53+SUM(M55)</f>
      </c>
      <c r="N56" s="6">
        <f>N53+SUM(N55)</f>
      </c>
      <c r="O56" s="6">
        <f>O53+SUM(O55)</f>
      </c>
      <c r="P56" s="6">
        <f>P53+SUM(P55)</f>
      </c>
      <c r="Q56" s="6">
        <f>Q53+SUM(Q55)</f>
      </c>
      <c r="R56" s="6">
        <f>R53+SUM(R55)</f>
      </c>
      <c r="S56" s="6">
        <f>S53+SUM(S55)</f>
      </c>
      <c r="T56" s="6">
        <f>T53+SUM(T55)</f>
      </c>
      <c r="U56" s="6">
        <f>U53+SUM(U55)</f>
      </c>
      <c r="V56" s="6">
        <f>V53+SUM(V55)</f>
      </c>
      <c r="W56" s="6">
        <f>W53+SUM(W55)</f>
      </c>
      <c r="X56" s="6">
        <f>X53+SUM(X55)</f>
      </c>
      <c r="Y56" s="6">
        <f>Y53+SUM(Y55)</f>
      </c>
      <c r="Z56" s="6">
        <f>Z53+SUM(Z55)</f>
      </c>
      <c r="AA56" s="6">
        <f>AA53+SUM(AA55)</f>
      </c>
      <c r="AB56" s="6">
        <f>AB53+SUM(AB55)</f>
      </c>
      <c r="AC56" s="6">
        <f>AC53+SUM(AC55)</f>
      </c>
      <c r="AD56" s="6">
        <f>AD53+SUM(AD55)</f>
      </c>
      <c r="AE56" s="6">
        <f>AE53+SUM(AE55)</f>
      </c>
      <c r="AF56" s="6">
        <f>AF53+SUM(AF55)</f>
      </c>
      <c r="AG56" s="6">
        <f>AG53+SUM(AG55)</f>
      </c>
      <c r="AH56" s="6">
        <f>AH53+SUM(AH55)</f>
      </c>
      <c r="AI56" s="6">
        <f>AI53+SUM(AI55)</f>
      </c>
      <c r="AJ56" s="6">
        <f>AJ53+SUM(AJ55)</f>
      </c>
      <c r="AK56" s="6">
        <f>AK53+SUM(AK55)</f>
      </c>
    </row>
    <row r="57">
      <c r="A57" s="5" t="s">
        <v>166</v>
      </c>
      <c r="B57" s="6">
        <f>B49+B56</f>
      </c>
      <c r="C57" s="6">
        <f>C49+C56</f>
      </c>
      <c r="D57" s="6">
        <f>D49+D56</f>
      </c>
      <c r="E57" s="6">
        <f>E49+E56</f>
      </c>
      <c r="F57" s="6">
        <f>F49+F56</f>
      </c>
      <c r="G57" s="6">
        <f>G49+G56</f>
      </c>
      <c r="H57" s="6">
        <f>H49+H56</f>
      </c>
      <c r="I57" s="6">
        <f>I49+I56</f>
      </c>
      <c r="J57" s="6">
        <f>J49+J56</f>
      </c>
      <c r="K57" s="6">
        <f>K49+K56</f>
      </c>
      <c r="L57" s="6">
        <f>L49+L56</f>
      </c>
      <c r="M57" s="6">
        <f>M49+M56</f>
      </c>
      <c r="N57" s="6">
        <f>N49+N56</f>
      </c>
      <c r="O57" s="6">
        <f>O49+O56</f>
      </c>
      <c r="P57" s="6">
        <f>P49+P56</f>
      </c>
      <c r="Q57" s="6">
        <f>Q49+Q56</f>
      </c>
      <c r="R57" s="6">
        <f>R49+R56</f>
      </c>
      <c r="S57" s="6">
        <f>S49+S56</f>
      </c>
      <c r="T57" s="6">
        <f>T49+T56</f>
      </c>
      <c r="U57" s="6">
        <f>U49+U56</f>
      </c>
      <c r="V57" s="6">
        <f>V49+V56</f>
      </c>
      <c r="W57" s="6">
        <f>W49+W56</f>
      </c>
      <c r="X57" s="6">
        <f>X49+X56</f>
      </c>
      <c r="Y57" s="6">
        <f>Y49+Y56</f>
      </c>
      <c r="Z57" s="6">
        <f>Z49+Z56</f>
      </c>
      <c r="AA57" s="6">
        <f>AA49+AA56</f>
      </c>
      <c r="AB57" s="6">
        <f>AB49+AB56</f>
      </c>
      <c r="AC57" s="6">
        <f>AC49+AC56</f>
      </c>
      <c r="AD57" s="6">
        <f>AD49+AD56</f>
      </c>
      <c r="AE57" s="6">
        <f>AE49+AE56</f>
      </c>
      <c r="AF57" s="6">
        <f>AF49+AF56</f>
      </c>
      <c r="AG57" s="6">
        <f>AG49+AG56</f>
      </c>
      <c r="AH57" s="6">
        <f>AH49+AH56</f>
      </c>
      <c r="AI57" s="6">
        <f>AI49+AI56</f>
      </c>
      <c r="AJ57" s="6">
        <f>AJ49+AJ56</f>
      </c>
      <c r="AK57" s="6">
        <f>AK49+AK56</f>
      </c>
    </row>
    <row r="58">
      <c r="A58" s="5" t="s">
        <v>167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5" t="s">
        <v>168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7" t="s">
        <v>168</v>
      </c>
      <c r="B60" s="8">
        <v>292537.5</v>
      </c>
      <c r="C60" s="8">
        <v>292537.5</v>
      </c>
      <c r="D60" s="8">
        <v>292537.5</v>
      </c>
      <c r="E60" s="8">
        <v>292537.5</v>
      </c>
      <c r="F60" s="8">
        <v>292537.5</v>
      </c>
      <c r="G60" s="8">
        <v>292537.5</v>
      </c>
      <c r="H60" s="8">
        <v>292537.5</v>
      </c>
      <c r="I60" s="8">
        <v>292537.5</v>
      </c>
      <c r="J60" s="8">
        <v>292537.5</v>
      </c>
      <c r="K60" s="8">
        <v>292537.5</v>
      </c>
      <c r="L60" s="8">
        <v>292537.5</v>
      </c>
      <c r="M60" s="8">
        <v>292537.5</v>
      </c>
      <c r="N60" s="8">
        <v>470762.1</v>
      </c>
      <c r="O60" s="8">
        <v>470762.1</v>
      </c>
      <c r="P60" s="8">
        <v>470762.1</v>
      </c>
      <c r="Q60" s="8">
        <v>470762.1</v>
      </c>
      <c r="R60" s="8">
        <v>470762.1</v>
      </c>
      <c r="S60" s="8">
        <v>470762.1</v>
      </c>
      <c r="T60" s="8">
        <v>470762.1</v>
      </c>
      <c r="U60" s="8">
        <v>470762.1</v>
      </c>
      <c r="V60" s="8">
        <v>470762.1</v>
      </c>
      <c r="W60" s="8">
        <v>470762.1</v>
      </c>
      <c r="X60" s="8">
        <v>470762.1</v>
      </c>
      <c r="Y60" s="8">
        <v>470762.1</v>
      </c>
      <c r="Z60" s="8">
        <v>731603.2872915694</v>
      </c>
      <c r="AA60" s="8">
        <v>731603.2872915694</v>
      </c>
      <c r="AB60" s="8">
        <v>731603.2872915694</v>
      </c>
      <c r="AC60" s="8">
        <v>731603.2872915694</v>
      </c>
      <c r="AD60" s="8">
        <v>731603.2872915694</v>
      </c>
      <c r="AE60" s="8">
        <v>731603.2872915694</v>
      </c>
      <c r="AF60" s="8">
        <v>731603.2872915694</v>
      </c>
      <c r="AG60" s="8">
        <v>731603.2872915694</v>
      </c>
      <c r="AH60" s="8">
        <v>731603.2872915694</v>
      </c>
      <c r="AI60" s="8">
        <v>731603.2872915694</v>
      </c>
      <c r="AJ60" s="8">
        <v>731603.2872915694</v>
      </c>
      <c r="AK60" s="8">
        <v>731603.2872915694</v>
      </c>
    </row>
    <row r="61">
      <c r="A61" s="5" t="s">
        <v>169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7" t="s">
        <v>170</v>
      </c>
      <c r="B62" s="8">
        <v>11945.73</v>
      </c>
      <c r="C62" s="8">
        <v>54510.71</v>
      </c>
      <c r="D62" s="8">
        <v>87576.18</v>
      </c>
      <c r="E62" s="8">
        <v>105251.27</v>
      </c>
      <c r="F62" s="8">
        <v>134504.67</v>
      </c>
      <c r="G62" s="8">
        <v>111259.89</v>
      </c>
      <c r="H62" s="8">
        <v>100005.96</v>
      </c>
      <c r="I62" s="8">
        <v>87973.69</v>
      </c>
      <c r="J62" s="8">
        <v>57855.79</v>
      </c>
      <c r="K62" s="8">
        <v>148136.88</v>
      </c>
      <c r="L62" s="8">
        <v>186834.65</v>
      </c>
      <c r="M62" s="8">
        <v>178224.6</v>
      </c>
      <c r="N62" s="8">
        <v>13171.192895652235</v>
      </c>
      <c r="O62" s="8">
        <v>15038.431691304477</v>
      </c>
      <c r="P62" s="8">
        <v>43066.196474105622</v>
      </c>
      <c r="Q62" s="8">
        <v>73114.160567725339</v>
      </c>
      <c r="R62" s="8">
        <v>115403.04885048127</v>
      </c>
      <c r="S62" s="8">
        <v>189910.63319618048</v>
      </c>
      <c r="T62" s="8">
        <v>251688.7584149664</v>
      </c>
      <c r="U62" s="8">
        <v>245086.49979417081</v>
      </c>
      <c r="V62" s="8">
        <v>228793.27865917134</v>
      </c>
      <c r="W62" s="8">
        <v>282342.29297425417</v>
      </c>
      <c r="X62" s="8">
        <v>304888.76780348242</v>
      </c>
      <c r="Y62" s="8">
        <v>260841.18729156931</v>
      </c>
      <c r="Z62" s="8">
        <v>42563.719777623381</v>
      </c>
      <c r="AA62" s="8">
        <v>79276.046637005318</v>
      </c>
      <c r="AB62" s="8">
        <v>104193.77659710668</v>
      </c>
      <c r="AC62" s="8">
        <v>132846.20370368831</v>
      </c>
      <c r="AD62" s="8">
        <v>172674.98718201197</v>
      </c>
      <c r="AE62" s="8">
        <v>245274.69018354718</v>
      </c>
      <c r="AF62" s="8">
        <v>203975.48224268411</v>
      </c>
      <c r="AG62" s="8">
        <v>187272.3410054516</v>
      </c>
      <c r="AH62" s="8">
        <v>167619.559959641</v>
      </c>
      <c r="AI62" s="8">
        <v>215825.06053773614</v>
      </c>
      <c r="AJ62" s="8">
        <v>230773.544090049</v>
      </c>
      <c r="AK62" s="8">
        <v>176138.95549426085</v>
      </c>
    </row>
    <row r="63">
      <c r="A63" s="5" t="s">
        <v>171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7" t="s">
        <v>172</v>
      </c>
      <c r="B64" s="8">
        <v>1</v>
      </c>
      <c r="C64" s="8">
        <v>1</v>
      </c>
      <c r="D64" s="8">
        <v>1</v>
      </c>
      <c r="E64" s="8">
        <v>1</v>
      </c>
      <c r="F64" s="8">
        <v>1</v>
      </c>
      <c r="G64" s="8">
        <v>1</v>
      </c>
      <c r="H64" s="8">
        <v>1</v>
      </c>
      <c r="I64" s="8">
        <v>1</v>
      </c>
      <c r="J64" s="8">
        <v>1</v>
      </c>
      <c r="K64" s="8">
        <v>1</v>
      </c>
      <c r="L64" s="8">
        <v>1</v>
      </c>
      <c r="M64" s="8">
        <v>1</v>
      </c>
      <c r="N64" s="8">
        <v>1</v>
      </c>
      <c r="O64" s="8">
        <v>1</v>
      </c>
      <c r="P64" s="8">
        <v>1</v>
      </c>
      <c r="Q64" s="8">
        <v>1</v>
      </c>
      <c r="R64" s="8">
        <v>1</v>
      </c>
      <c r="S64" s="8">
        <v>1</v>
      </c>
      <c r="T64" s="8">
        <v>1</v>
      </c>
      <c r="U64" s="8">
        <v>1</v>
      </c>
      <c r="V64" s="8">
        <v>1</v>
      </c>
      <c r="W64" s="8">
        <v>1</v>
      </c>
      <c r="X64" s="8">
        <v>1</v>
      </c>
      <c r="Y64" s="8">
        <v>1</v>
      </c>
      <c r="Z64" s="8">
        <v>1</v>
      </c>
      <c r="AA64" s="8">
        <v>1</v>
      </c>
      <c r="AB64" s="8">
        <v>1</v>
      </c>
      <c r="AC64" s="8">
        <v>1</v>
      </c>
      <c r="AD64" s="8">
        <v>1</v>
      </c>
      <c r="AE64" s="8">
        <v>1</v>
      </c>
      <c r="AF64" s="8">
        <v>1</v>
      </c>
      <c r="AG64" s="8">
        <v>1</v>
      </c>
      <c r="AH64" s="8">
        <v>1</v>
      </c>
      <c r="AI64" s="8">
        <v>1</v>
      </c>
      <c r="AJ64" s="8">
        <v>1</v>
      </c>
      <c r="AK64" s="8">
        <v>1</v>
      </c>
    </row>
    <row r="65">
      <c r="A65" s="7" t="s">
        <v>173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675000</v>
      </c>
      <c r="L65" s="8">
        <v>675000</v>
      </c>
      <c r="M65" s="8">
        <v>675000</v>
      </c>
      <c r="N65" s="8">
        <v>675000</v>
      </c>
      <c r="O65" s="8">
        <v>675000</v>
      </c>
      <c r="P65" s="8">
        <v>675000</v>
      </c>
      <c r="Q65" s="8">
        <v>675000</v>
      </c>
      <c r="R65" s="8">
        <v>675000</v>
      </c>
      <c r="S65" s="8">
        <v>675000</v>
      </c>
      <c r="T65" s="8">
        <v>675000</v>
      </c>
      <c r="U65" s="8">
        <v>675000</v>
      </c>
      <c r="V65" s="8">
        <v>675000</v>
      </c>
      <c r="W65" s="8">
        <v>675000</v>
      </c>
      <c r="X65" s="8">
        <v>675000</v>
      </c>
      <c r="Y65" s="8">
        <v>675000</v>
      </c>
      <c r="Z65" s="8">
        <v>675000</v>
      </c>
      <c r="AA65" s="8">
        <v>675000</v>
      </c>
      <c r="AB65" s="8">
        <v>675000</v>
      </c>
      <c r="AC65" s="8">
        <v>675000</v>
      </c>
      <c r="AD65" s="8">
        <v>675000</v>
      </c>
      <c r="AE65" s="8">
        <v>675000</v>
      </c>
      <c r="AF65" s="8">
        <v>675000</v>
      </c>
      <c r="AG65" s="8">
        <v>675000</v>
      </c>
      <c r="AH65" s="8">
        <v>675000</v>
      </c>
      <c r="AI65" s="8">
        <v>675000</v>
      </c>
      <c r="AJ65" s="8">
        <v>675000</v>
      </c>
      <c r="AK65" s="8">
        <v>675000</v>
      </c>
    </row>
    <row r="66">
      <c r="A66" s="5" t="s">
        <v>174</v>
      </c>
      <c r="B66" s="6">
        <f>SUM(B64:B65)</f>
      </c>
      <c r="C66" s="6">
        <f>SUM(C64:C65)</f>
      </c>
      <c r="D66" s="6">
        <f>SUM(D64:D65)</f>
      </c>
      <c r="E66" s="6">
        <f>SUM(E64:E65)</f>
      </c>
      <c r="F66" s="6">
        <f>SUM(F64:F65)</f>
      </c>
      <c r="G66" s="6">
        <f>SUM(G64:G65)</f>
      </c>
      <c r="H66" s="6">
        <f>SUM(H64:H65)</f>
      </c>
      <c r="I66" s="6">
        <f>SUM(I64:I65)</f>
      </c>
      <c r="J66" s="6">
        <f>SUM(J64:J65)</f>
      </c>
      <c r="K66" s="6">
        <f>SUM(K64:K65)</f>
      </c>
      <c r="L66" s="6">
        <f>SUM(L64:L65)</f>
      </c>
      <c r="M66" s="6">
        <f>SUM(M64:M65)</f>
      </c>
      <c r="N66" s="6">
        <f>SUM(N64:N65)</f>
      </c>
      <c r="O66" s="6">
        <f>SUM(O64:O65)</f>
      </c>
      <c r="P66" s="6">
        <f>SUM(P64:P65)</f>
      </c>
      <c r="Q66" s="6">
        <f>SUM(Q64:Q65)</f>
      </c>
      <c r="R66" s="6">
        <f>SUM(R64:R65)</f>
      </c>
      <c r="S66" s="6">
        <f>SUM(S64:S65)</f>
      </c>
      <c r="T66" s="6">
        <f>SUM(T64:T65)</f>
      </c>
      <c r="U66" s="6">
        <f>SUM(U64:U65)</f>
      </c>
      <c r="V66" s="6">
        <f>SUM(V64:V65)</f>
      </c>
      <c r="W66" s="6">
        <f>SUM(W64:W65)</f>
      </c>
      <c r="X66" s="6">
        <f>SUM(X64:X65)</f>
      </c>
      <c r="Y66" s="6">
        <f>SUM(Y64:Y65)</f>
      </c>
      <c r="Z66" s="6">
        <f>SUM(Z64:Z65)</f>
      </c>
      <c r="AA66" s="6">
        <f>SUM(AA64:AA65)</f>
      </c>
      <c r="AB66" s="6">
        <f>SUM(AB64:AB65)</f>
      </c>
      <c r="AC66" s="6">
        <f>SUM(AC64:AC65)</f>
      </c>
      <c r="AD66" s="6">
        <f>SUM(AD64:AD65)</f>
      </c>
      <c r="AE66" s="6">
        <f>SUM(AE64:AE65)</f>
      </c>
      <c r="AF66" s="6">
        <f>SUM(AF64:AF65)</f>
      </c>
      <c r="AG66" s="6">
        <f>SUM(AG64:AG65)</f>
      </c>
      <c r="AH66" s="6">
        <f>SUM(AH64:AH65)</f>
      </c>
      <c r="AI66" s="6">
        <f>SUM(AI64:AI65)</f>
      </c>
      <c r="AJ66" s="6">
        <f>SUM(AJ64:AJ65)</f>
      </c>
      <c r="AK66" s="6">
        <f>SUM(AK64:AK65)</f>
      </c>
    </row>
    <row r="67">
      <c r="A67" s="5" t="s">
        <v>175</v>
      </c>
      <c r="B67" s="6">
        <f>SUM(B60)+SUM(B62)+B66</f>
      </c>
      <c r="C67" s="6">
        <f>SUM(C60)+SUM(C62)+C66</f>
      </c>
      <c r="D67" s="6">
        <f>SUM(D60)+SUM(D62)+D66</f>
      </c>
      <c r="E67" s="6">
        <f>SUM(E60)+SUM(E62)+E66</f>
      </c>
      <c r="F67" s="6">
        <f>SUM(F60)+SUM(F62)+F66</f>
      </c>
      <c r="G67" s="6">
        <f>SUM(G60)+SUM(G62)+G66</f>
      </c>
      <c r="H67" s="6">
        <f>SUM(H60)+SUM(H62)+H66</f>
      </c>
      <c r="I67" s="6">
        <f>SUM(I60)+SUM(I62)+I66</f>
      </c>
      <c r="J67" s="6">
        <f>SUM(J60)+SUM(J62)+J66</f>
      </c>
      <c r="K67" s="6">
        <f>SUM(K60)+SUM(K62)+K66</f>
      </c>
      <c r="L67" s="6">
        <f>SUM(L60)+SUM(L62)+L66</f>
      </c>
      <c r="M67" s="6">
        <f>SUM(M60)+SUM(M62)+M66</f>
      </c>
      <c r="N67" s="6">
        <f>SUM(N60)+SUM(N62)+N66</f>
      </c>
      <c r="O67" s="6">
        <f>SUM(O60)+SUM(O62)+O66</f>
      </c>
      <c r="P67" s="6">
        <f>SUM(P60)+SUM(P62)+P66</f>
      </c>
      <c r="Q67" s="6">
        <f>SUM(Q60)+SUM(Q62)+Q66</f>
      </c>
      <c r="R67" s="6">
        <f>SUM(R60)+SUM(R62)+R66</f>
      </c>
      <c r="S67" s="6">
        <f>SUM(S60)+SUM(S62)+S66</f>
      </c>
      <c r="T67" s="6">
        <f>SUM(T60)+SUM(T62)+T66</f>
      </c>
      <c r="U67" s="6">
        <f>SUM(U60)+SUM(U62)+U66</f>
      </c>
      <c r="V67" s="6">
        <f>SUM(V60)+SUM(V62)+V66</f>
      </c>
      <c r="W67" s="6">
        <f>SUM(W60)+SUM(W62)+W66</f>
      </c>
      <c r="X67" s="6">
        <f>SUM(X60)+SUM(X62)+X66</f>
      </c>
      <c r="Y67" s="6">
        <f>SUM(Y60)+SUM(Y62)+Y66</f>
      </c>
      <c r="Z67" s="6">
        <f>SUM(Z60)+SUM(Z62)+Z66</f>
      </c>
      <c r="AA67" s="6">
        <f>SUM(AA60)+SUM(AA62)+AA66</f>
      </c>
      <c r="AB67" s="6">
        <f>SUM(AB60)+SUM(AB62)+AB66</f>
      </c>
      <c r="AC67" s="6">
        <f>SUM(AC60)+SUM(AC62)+AC66</f>
      </c>
      <c r="AD67" s="6">
        <f>SUM(AD60)+SUM(AD62)+AD66</f>
      </c>
      <c r="AE67" s="6">
        <f>SUM(AE60)+SUM(AE62)+AE66</f>
      </c>
      <c r="AF67" s="6">
        <f>SUM(AF60)+SUM(AF62)+AF66</f>
      </c>
      <c r="AG67" s="6">
        <f>SUM(AG60)+SUM(AG62)+AG66</f>
      </c>
      <c r="AH67" s="6">
        <f>SUM(AH60)+SUM(AH62)+AH66</f>
      </c>
      <c r="AI67" s="6">
        <f>SUM(AI60)+SUM(AI62)+AI66</f>
      </c>
      <c r="AJ67" s="6">
        <f>SUM(AJ60)+SUM(AJ62)+AJ66</f>
      </c>
      <c r="AK67" s="6">
        <f>SUM(AK60)+SUM(AK62)+AK66</f>
      </c>
    </row>
    <row r="68">
      <c r="A68" s="5" t="s">
        <v>176</v>
      </c>
      <c r="B68" s="6">
        <f>B57+B67</f>
      </c>
      <c r="C68" s="6">
        <f>C57+C67</f>
      </c>
      <c r="D68" s="6">
        <f>D57+D67</f>
      </c>
      <c r="E68" s="6">
        <f>E57+E67</f>
      </c>
      <c r="F68" s="6">
        <f>F57+F67</f>
      </c>
      <c r="G68" s="6">
        <f>G57+G67</f>
      </c>
      <c r="H68" s="6">
        <f>H57+H67</f>
      </c>
      <c r="I68" s="6">
        <f>I57+I67</f>
      </c>
      <c r="J68" s="6">
        <f>J57+J67</f>
      </c>
      <c r="K68" s="6">
        <f>K57+K67</f>
      </c>
      <c r="L68" s="6">
        <f>L57+L67</f>
      </c>
      <c r="M68" s="6">
        <f>M57+M67</f>
      </c>
      <c r="N68" s="6">
        <f>N57+N67</f>
      </c>
      <c r="O68" s="6">
        <f>O57+O67</f>
      </c>
      <c r="P68" s="6">
        <f>P57+P67</f>
      </c>
      <c r="Q68" s="6">
        <f>Q57+Q67</f>
      </c>
      <c r="R68" s="6">
        <f>R57+R67</f>
      </c>
      <c r="S68" s="6">
        <f>S57+S67</f>
      </c>
      <c r="T68" s="6">
        <f>T57+T67</f>
      </c>
      <c r="U68" s="6">
        <f>U57+U67</f>
      </c>
      <c r="V68" s="6">
        <f>V57+V67</f>
      </c>
      <c r="W68" s="6">
        <f>W57+W67</f>
      </c>
      <c r="X68" s="6">
        <f>X57+X67</f>
      </c>
      <c r="Y68" s="6">
        <f>Y57+Y67</f>
      </c>
      <c r="Z68" s="6">
        <f>Z57+Z67</f>
      </c>
      <c r="AA68" s="6">
        <f>AA57+AA67</f>
      </c>
      <c r="AB68" s="6">
        <f>AB57+AB67</f>
      </c>
      <c r="AC68" s="6">
        <f>AC57+AC67</f>
      </c>
      <c r="AD68" s="6">
        <f>AD57+AD67</f>
      </c>
      <c r="AE68" s="6">
        <f>AE57+AE67</f>
      </c>
      <c r="AF68" s="6">
        <f>AF57+AF67</f>
      </c>
      <c r="AG68" s="6">
        <f>AG57+AG67</f>
      </c>
      <c r="AH68" s="6">
        <f>AH57+AH67</f>
      </c>
      <c r="AI68" s="6">
        <f>AI57+AI67</f>
      </c>
      <c r="AJ68" s="6">
        <f>AJ57+AJ67</f>
      </c>
      <c r="AK68" s="6">
        <f>AK57+AK67</f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AK26"/>
  <sheetViews>
    <sheetView workbookViewId="0">
      <pane xSplit="1" ySplit="2" topLeftCell="B3" state="frozen" activePane="bottomRight"/>
      <selection pane="topRight" activeCell="B1" sqref="B1"/>
      <selection pane="bottomLeft" activeCell="A3" sqref="A3"/>
      <selection pane="bottomRight" activeCell="A1" sqref="A1"/>
    </sheetView>
  </sheetViews>
  <sheetFormatPr defaultRowHeight="15"/>
  <cols>
    <col min="1" max="1" width="39.9125022888184" customWidth="1" style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</cols>
  <sheetData>
    <row r="1" ht="24" customHeight="1" s="2" customFormat="1">
      <c r="A1" s="3" t="s">
        <v>177</v>
      </c>
      <c r="C1" s="9" t="s">
        <v>1</v>
      </c>
    </row>
    <row r="2">
      <c r="A2" s="5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</row>
    <row r="4">
      <c r="A4" s="5" t="s">
        <v>178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10" t="s">
        <v>113</v>
      </c>
      <c r="B5" s="8">
        <v>11945.73</v>
      </c>
      <c r="C5" s="8">
        <v>42564.98</v>
      </c>
      <c r="D5" s="8">
        <v>33065.47</v>
      </c>
      <c r="E5" s="8">
        <v>17675.09</v>
      </c>
      <c r="F5" s="8">
        <v>29253.4</v>
      </c>
      <c r="G5" s="8">
        <v>-23244.78</v>
      </c>
      <c r="H5" s="8">
        <v>-11253.93</v>
      </c>
      <c r="I5" s="8">
        <v>-12032.27</v>
      </c>
      <c r="J5" s="8">
        <v>-30117.9</v>
      </c>
      <c r="K5" s="8">
        <v>90281.09</v>
      </c>
      <c r="L5" s="8">
        <v>38697.77</v>
      </c>
      <c r="M5" s="8">
        <v>-8610.05</v>
      </c>
      <c r="N5" s="8">
        <v>13171.192895652235</v>
      </c>
      <c r="O5" s="8">
        <v>1867.2387956522416</v>
      </c>
      <c r="P5" s="8">
        <v>28027.76478280114</v>
      </c>
      <c r="Q5" s="8">
        <v>30047.964093619717</v>
      </c>
      <c r="R5" s="8">
        <v>42288.888282755921</v>
      </c>
      <c r="S5" s="8">
        <v>74507.58434569923</v>
      </c>
      <c r="T5" s="8">
        <v>61778.125218785921</v>
      </c>
      <c r="U5" s="8">
        <v>-6602.2586207955837</v>
      </c>
      <c r="V5" s="8">
        <v>-16293.221134999487</v>
      </c>
      <c r="W5" s="8">
        <v>53549.014315082844</v>
      </c>
      <c r="X5" s="8">
        <v>22546.47482922822</v>
      </c>
      <c r="Y5" s="8">
        <v>-44047.580511913089</v>
      </c>
      <c r="Z5" s="8">
        <v>42563.719777623381</v>
      </c>
      <c r="AA5" s="8">
        <v>36712.32685938193</v>
      </c>
      <c r="AB5" s="8">
        <v>24917.729960101358</v>
      </c>
      <c r="AC5" s="8">
        <v>28652.427106581625</v>
      </c>
      <c r="AD5" s="8">
        <v>39828.783478323654</v>
      </c>
      <c r="AE5" s="8">
        <v>72599.703001535221</v>
      </c>
      <c r="AF5" s="8">
        <v>-41299.207940863045</v>
      </c>
      <c r="AG5" s="8">
        <v>-16703.141237232539</v>
      </c>
      <c r="AH5" s="8">
        <v>-19652.7810458106</v>
      </c>
      <c r="AI5" s="8">
        <v>48205.500578095132</v>
      </c>
      <c r="AJ5" s="8">
        <v>14948.483552312868</v>
      </c>
      <c r="AK5" s="8">
        <v>-54634.588595788133</v>
      </c>
    </row>
    <row r="6">
      <c r="A6" s="10" t="s">
        <v>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</row>
    <row r="7">
      <c r="A7" s="10" t="s">
        <v>179</v>
      </c>
      <c r="B7" s="8">
        <v>40736</v>
      </c>
      <c r="C7" s="8">
        <v>-14566.83</v>
      </c>
      <c r="D7" s="8">
        <v>-8727.14</v>
      </c>
      <c r="E7" s="8">
        <v>-15320.23</v>
      </c>
      <c r="F7" s="8">
        <v>904.67</v>
      </c>
      <c r="G7" s="8">
        <v>-24533.94</v>
      </c>
      <c r="H7" s="8">
        <v>-7956.68</v>
      </c>
      <c r="I7" s="8">
        <v>-8786.4</v>
      </c>
      <c r="J7" s="8">
        <v>-5158</v>
      </c>
      <c r="K7" s="8">
        <v>-26133.02</v>
      </c>
      <c r="L7" s="8">
        <v>-14430.92</v>
      </c>
      <c r="M7" s="8">
        <v>8155.36</v>
      </c>
      <c r="N7" s="8">
        <v>-7997.5766666666677</v>
      </c>
      <c r="O7" s="8">
        <v>-7997.5766666666677</v>
      </c>
      <c r="P7" s="8">
        <v>-7997.5766666666677</v>
      </c>
      <c r="Q7" s="8">
        <v>-7997.5766666666677</v>
      </c>
      <c r="R7" s="8">
        <v>-7997.5766666666677</v>
      </c>
      <c r="S7" s="8">
        <v>-7997.5766666666677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</row>
    <row r="8">
      <c r="A8" s="10" t="s">
        <v>180</v>
      </c>
      <c r="B8" s="8">
        <v>-9310.68</v>
      </c>
      <c r="C8" s="8">
        <v>-4598.12</v>
      </c>
      <c r="D8" s="8">
        <v>0.08</v>
      </c>
      <c r="E8" s="8">
        <v>-4951.91</v>
      </c>
      <c r="F8" s="8">
        <v>-55.01</v>
      </c>
      <c r="G8" s="8">
        <v>-111.78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</row>
    <row r="9">
      <c r="A9" s="10" t="s">
        <v>181</v>
      </c>
      <c r="B9" s="8">
        <v>0</v>
      </c>
      <c r="C9" s="8">
        <v>0</v>
      </c>
      <c r="D9" s="8">
        <v>-9.12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</row>
    <row r="10">
      <c r="A10" s="10" t="s">
        <v>182</v>
      </c>
      <c r="B10" s="8">
        <v>-21669.95</v>
      </c>
      <c r="C10" s="8">
        <v>-21643.8</v>
      </c>
      <c r="D10" s="8">
        <v>-47583.25</v>
      </c>
      <c r="E10" s="8">
        <v>71440.32</v>
      </c>
      <c r="F10" s="8">
        <v>-36682.24</v>
      </c>
      <c r="G10" s="8">
        <v>19679.32</v>
      </c>
      <c r="H10" s="8">
        <v>5900.48</v>
      </c>
      <c r="I10" s="8">
        <v>26546</v>
      </c>
      <c r="J10" s="8">
        <v>8192.32</v>
      </c>
      <c r="K10" s="8">
        <v>-37007.8</v>
      </c>
      <c r="L10" s="8">
        <v>-7892.4</v>
      </c>
      <c r="M10" s="8">
        <v>7731.9</v>
      </c>
      <c r="N10" s="8">
        <v>7228.05</v>
      </c>
      <c r="O10" s="8">
        <v>7228.05</v>
      </c>
      <c r="P10" s="8">
        <v>7228.05</v>
      </c>
      <c r="Q10" s="8">
        <v>7228.05</v>
      </c>
      <c r="R10" s="8">
        <v>7228.0499999999993</v>
      </c>
      <c r="S10" s="8">
        <v>7228.0499999999993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</row>
    <row r="11">
      <c r="A11" s="10" t="s">
        <v>183</v>
      </c>
      <c r="B11" s="8">
        <v>0</v>
      </c>
      <c r="C11" s="8">
        <v>0</v>
      </c>
      <c r="D11" s="8">
        <v>0</v>
      </c>
      <c r="E11" s="8">
        <v>0</v>
      </c>
      <c r="F11" s="8">
        <v>125</v>
      </c>
      <c r="G11" s="8">
        <v>0</v>
      </c>
      <c r="H11" s="8">
        <v>125</v>
      </c>
      <c r="I11" s="8">
        <v>250</v>
      </c>
      <c r="J11" s="8">
        <v>125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</row>
    <row r="12">
      <c r="A12" s="5" t="s">
        <v>184</v>
      </c>
      <c r="B12" s="6">
        <f>B5+B7+B8+B9+B10+B11</f>
      </c>
      <c r="C12" s="6">
        <f>C5+C7+C8+C9+C10+C11</f>
      </c>
      <c r="D12" s="6">
        <f>D5+D7+D8+D9+D10+D11</f>
      </c>
      <c r="E12" s="6">
        <f>E5+E7+E8+E9+E10+E11</f>
      </c>
      <c r="F12" s="6">
        <f>F5+F7+F8+F9+F10+F11</f>
      </c>
      <c r="G12" s="6">
        <f>G5+G7+G8+G9+G10+G11</f>
      </c>
      <c r="H12" s="6">
        <f>H5+H7+H8+H9+H10+H11</f>
      </c>
      <c r="I12" s="6">
        <f>I5+I7+I8+I9+I10+I11</f>
      </c>
      <c r="J12" s="6">
        <f>J5+J7+J8+J9+J10+J11</f>
      </c>
      <c r="K12" s="6">
        <f>K5+K7+K8+K9+K10+K11</f>
      </c>
      <c r="L12" s="6">
        <f>L5+L7+L8+L9+L10+L11</f>
      </c>
      <c r="M12" s="6">
        <f>M5+M7+M8+M9+M10+M11</f>
      </c>
      <c r="N12" s="6">
        <f>N5+N7+N8+N9+N10+N11</f>
      </c>
      <c r="O12" s="6">
        <f>O5+O7+O8+O9+O10+O11</f>
      </c>
      <c r="P12" s="6">
        <f>P5+P7+P8+P9+P10+P11</f>
      </c>
      <c r="Q12" s="6">
        <f>Q5+Q7+Q8+Q9+Q10+Q11</f>
      </c>
      <c r="R12" s="6">
        <f>R5+R7+R8+R9+R10+R11</f>
      </c>
      <c r="S12" s="6">
        <f>S5+S7+S8+S9+S10+S11</f>
      </c>
      <c r="T12" s="6">
        <f>T5+T7+T8+T9+T10+T11</f>
      </c>
      <c r="U12" s="6">
        <f>U5+U7+U8+U9+U10+U11</f>
      </c>
      <c r="V12" s="6">
        <f>V5+V7+V8+V9+V10+V11</f>
      </c>
      <c r="W12" s="6">
        <f>W5+W7+W8+W9+W10+W11</f>
      </c>
      <c r="X12" s="6">
        <f>X5+X7+X8+X9+X10+X11</f>
      </c>
      <c r="Y12" s="6">
        <f>Y5+Y7+Y8+Y9+Y10+Y11</f>
      </c>
      <c r="Z12" s="6">
        <f>Z5+Z7+Z8+Z9+Z10+Z11</f>
      </c>
      <c r="AA12" s="6">
        <f>AA5+AA7+AA8+AA9+AA10+AA11</f>
      </c>
      <c r="AB12" s="6">
        <f>AB5+AB7+AB8+AB9+AB10+AB11</f>
      </c>
      <c r="AC12" s="6">
        <f>AC5+AC7+AC8+AC9+AC10+AC11</f>
      </c>
      <c r="AD12" s="6">
        <f>AD5+AD7+AD8+AD9+AD10+AD11</f>
      </c>
      <c r="AE12" s="6">
        <f>AE5+AE7+AE8+AE9+AE10+AE11</f>
      </c>
      <c r="AF12" s="6">
        <f>AF5+AF7+AF8+AF9+AF10+AF11</f>
      </c>
      <c r="AG12" s="6">
        <f>AG5+AG7+AG8+AG9+AG10+AG11</f>
      </c>
      <c r="AH12" s="6">
        <f>AH5+AH7+AH8+AH9+AH10+AH11</f>
      </c>
      <c r="AI12" s="6">
        <f>AI5+AI7+AI8+AI9+AI10+AI11</f>
      </c>
      <c r="AJ12" s="6">
        <f>AJ5+AJ7+AJ8+AJ9+AJ10+AJ11</f>
      </c>
      <c r="AK12" s="6">
        <f>AK5+AK7+AK8+AK9+AK10+AK11</f>
      </c>
    </row>
    <row r="13">
      <c r="A13" s="10" t="s">
        <v>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</row>
    <row r="14">
      <c r="A14" s="5" t="s">
        <v>185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>
      <c r="A15" s="10" t="s">
        <v>186</v>
      </c>
      <c r="B15" s="8">
        <v>0</v>
      </c>
      <c r="C15" s="8">
        <v>0</v>
      </c>
      <c r="D15" s="8">
        <v>0</v>
      </c>
      <c r="E15" s="8">
        <v>-309.25</v>
      </c>
      <c r="F15" s="8">
        <v>0</v>
      </c>
      <c r="G15" s="8">
        <v>0</v>
      </c>
      <c r="H15" s="8">
        <v>-18.99</v>
      </c>
      <c r="I15" s="8">
        <v>0</v>
      </c>
      <c r="J15" s="8">
        <v>0</v>
      </c>
      <c r="K15" s="8">
        <v>-675000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</row>
    <row r="16">
      <c r="A16" s="5" t="s">
        <v>187</v>
      </c>
      <c r="B16" s="6">
        <f>B15</f>
      </c>
      <c r="C16" s="6">
        <f>C15</f>
      </c>
      <c r="D16" s="6">
        <f>D15</f>
      </c>
      <c r="E16" s="6">
        <f>E15</f>
      </c>
      <c r="F16" s="6">
        <f>F15</f>
      </c>
      <c r="G16" s="6">
        <f>G15</f>
      </c>
      <c r="H16" s="6">
        <f>H15</f>
      </c>
      <c r="I16" s="6">
        <f>I15</f>
      </c>
      <c r="J16" s="6">
        <f>J15</f>
      </c>
      <c r="K16" s="6">
        <f>K15</f>
      </c>
      <c r="L16" s="6">
        <f>L15</f>
      </c>
      <c r="M16" s="6">
        <f>M15</f>
      </c>
      <c r="N16" s="6">
        <f>N15</f>
      </c>
      <c r="O16" s="6">
        <f>O15</f>
      </c>
      <c r="P16" s="6">
        <f>P15</f>
      </c>
      <c r="Q16" s="6">
        <f>Q15</f>
      </c>
      <c r="R16" s="6">
        <f>R15</f>
      </c>
      <c r="S16" s="6">
        <f>S15</f>
      </c>
      <c r="T16" s="6">
        <f>T15</f>
      </c>
      <c r="U16" s="6">
        <f>U15</f>
      </c>
      <c r="V16" s="6">
        <f>V15</f>
      </c>
      <c r="W16" s="6">
        <f>W15</f>
      </c>
      <c r="X16" s="6">
        <f>X15</f>
      </c>
      <c r="Y16" s="6">
        <f>Y15</f>
      </c>
      <c r="Z16" s="6">
        <f>Z15</f>
      </c>
      <c r="AA16" s="6">
        <f>AA15</f>
      </c>
      <c r="AB16" s="6">
        <f>AB15</f>
      </c>
      <c r="AC16" s="6">
        <f>AC15</f>
      </c>
      <c r="AD16" s="6">
        <f>AD15</f>
      </c>
      <c r="AE16" s="6">
        <f>AE15</f>
      </c>
      <c r="AF16" s="6">
        <f>AF15</f>
      </c>
      <c r="AG16" s="6">
        <f>AG15</f>
      </c>
      <c r="AH16" s="6">
        <f>AH15</f>
      </c>
      <c r="AI16" s="6">
        <f>AI15</f>
      </c>
      <c r="AJ16" s="6">
        <f>AJ15</f>
      </c>
      <c r="AK16" s="6">
        <f>AK15</f>
      </c>
    </row>
    <row r="17">
      <c r="A17" s="10" t="s">
        <v>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</row>
    <row r="18">
      <c r="A18" s="5" t="s">
        <v>188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10" t="s">
        <v>189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675000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</row>
    <row r="20">
      <c r="A20" s="10" t="s">
        <v>190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40000</v>
      </c>
      <c r="O20" s="8">
        <v>-551.51794382494415</v>
      </c>
      <c r="P20" s="8">
        <v>-554.96493097385007</v>
      </c>
      <c r="Q20" s="8">
        <v>-558.43346179243667</v>
      </c>
      <c r="R20" s="8">
        <v>-561.92367092863935</v>
      </c>
      <c r="S20" s="8">
        <v>-565.43569387194327</v>
      </c>
      <c r="T20" s="8">
        <v>-568.969666958643</v>
      </c>
      <c r="U20" s="8">
        <v>-572.52572737713444</v>
      </c>
      <c r="V20" s="8">
        <v>-576.10401317324158</v>
      </c>
      <c r="W20" s="8">
        <v>-579.70466325557425</v>
      </c>
      <c r="X20" s="8">
        <v>-583.32781740092173</v>
      </c>
      <c r="Y20" s="8">
        <v>-80586.973616259682</v>
      </c>
      <c r="Z20" s="8">
        <v>-590.64220136130041</v>
      </c>
      <c r="AA20" s="8">
        <v>-594.33371511980852</v>
      </c>
      <c r="AB20" s="8">
        <v>-598.04830083930733</v>
      </c>
      <c r="AC20" s="8">
        <v>-601.786102719553</v>
      </c>
      <c r="AD20" s="8">
        <v>-605.54726586155027</v>
      </c>
      <c r="AE20" s="8">
        <v>-80641.331936273185</v>
      </c>
      <c r="AF20" s="8">
        <v>-613.14026087489231</v>
      </c>
      <c r="AG20" s="8">
        <v>-616.97238750536042</v>
      </c>
      <c r="AH20" s="8">
        <v>-620.8284649272689</v>
      </c>
      <c r="AI20" s="8">
        <v>-624.70864283306423</v>
      </c>
      <c r="AJ20" s="8">
        <v>-628.613071850771</v>
      </c>
      <c r="AK20" s="8">
        <v>-632.54190354983825</v>
      </c>
    </row>
    <row r="21">
      <c r="A21" s="10" t="s">
        <v>191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-13870.75</v>
      </c>
      <c r="K21" s="8">
        <v>0</v>
      </c>
      <c r="L21" s="8">
        <v>-5625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</row>
    <row r="22">
      <c r="A22" s="5" t="s">
        <v>192</v>
      </c>
      <c r="B22" s="6">
        <f>B19+B20+B21</f>
      </c>
      <c r="C22" s="6">
        <f>C19+C20+C21</f>
      </c>
      <c r="D22" s="6">
        <f>D19+D20+D21</f>
      </c>
      <c r="E22" s="6">
        <f>E19+E20+E21</f>
      </c>
      <c r="F22" s="6">
        <f>F19+F20+F21</f>
      </c>
      <c r="G22" s="6">
        <f>G19+G20+G21</f>
      </c>
      <c r="H22" s="6">
        <f>H19+H20+H21</f>
      </c>
      <c r="I22" s="6">
        <f>I19+I20+I21</f>
      </c>
      <c r="J22" s="6">
        <f>J19+J20+J21</f>
      </c>
      <c r="K22" s="6">
        <f>K19+K20+K21</f>
      </c>
      <c r="L22" s="6">
        <f>L19+L20+L21</f>
      </c>
      <c r="M22" s="6">
        <f>M19+M20+M21</f>
      </c>
      <c r="N22" s="6">
        <f>N19+N20+N21</f>
      </c>
      <c r="O22" s="6">
        <f>O19+O20+O21</f>
      </c>
      <c r="P22" s="6">
        <f>P19+P20+P21</f>
      </c>
      <c r="Q22" s="6">
        <f>Q19+Q20+Q21</f>
      </c>
      <c r="R22" s="6">
        <f>R19+R20+R21</f>
      </c>
      <c r="S22" s="6">
        <f>S19+S20+S21</f>
      </c>
      <c r="T22" s="6">
        <f>T19+T20+T21</f>
      </c>
      <c r="U22" s="6">
        <f>U19+U20+U21</f>
      </c>
      <c r="V22" s="6">
        <f>V19+V20+V21</f>
      </c>
      <c r="W22" s="6">
        <f>W19+W20+W21</f>
      </c>
      <c r="X22" s="6">
        <f>X19+X20+X21</f>
      </c>
      <c r="Y22" s="6">
        <f>Y19+Y20+Y21</f>
      </c>
      <c r="Z22" s="6">
        <f>Z19+Z20+Z21</f>
      </c>
      <c r="AA22" s="6">
        <f>AA19+AA20+AA21</f>
      </c>
      <c r="AB22" s="6">
        <f>AB19+AB20+AB21</f>
      </c>
      <c r="AC22" s="6">
        <f>AC19+AC20+AC21</f>
      </c>
      <c r="AD22" s="6">
        <f>AD19+AD20+AD21</f>
      </c>
      <c r="AE22" s="6">
        <f>AE19+AE20+AE21</f>
      </c>
      <c r="AF22" s="6">
        <f>AF19+AF20+AF21</f>
      </c>
      <c r="AG22" s="6">
        <f>AG19+AG20+AG21</f>
      </c>
      <c r="AH22" s="6">
        <f>AH19+AH20+AH21</f>
      </c>
      <c r="AI22" s="6">
        <f>AI19+AI20+AI21</f>
      </c>
      <c r="AJ22" s="6">
        <f>AJ19+AJ20+AJ21</f>
      </c>
      <c r="AK22" s="6">
        <f>AK19+AK20+AK21</f>
      </c>
    </row>
    <row r="23">
      <c r="A23" s="10" t="s">
        <v>1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</row>
    <row r="24">
      <c r="A24" s="5" t="s">
        <v>193</v>
      </c>
      <c r="B24" s="6">
        <f>B12+B16+B22</f>
      </c>
      <c r="C24" s="6">
        <f>C12+C16+C22</f>
      </c>
      <c r="D24" s="6">
        <f>D12+D16+D22</f>
      </c>
      <c r="E24" s="6">
        <f>E12+E16+E22</f>
      </c>
      <c r="F24" s="6">
        <f>F12+F16+F22</f>
      </c>
      <c r="G24" s="6">
        <f>G12+G16+G22</f>
      </c>
      <c r="H24" s="6">
        <f>H12+H16+H22</f>
      </c>
      <c r="I24" s="6">
        <f>I12+I16+I22</f>
      </c>
      <c r="J24" s="6">
        <f>J12+J16+J22</f>
      </c>
      <c r="K24" s="6">
        <f>K12+K16+K22</f>
      </c>
      <c r="L24" s="6">
        <f>L12+L16+L22</f>
      </c>
      <c r="M24" s="6">
        <f>M12+M16+M22</f>
      </c>
      <c r="N24" s="6">
        <f>N12+N16+N22</f>
      </c>
      <c r="O24" s="6">
        <f>O12+O16+O22</f>
      </c>
      <c r="P24" s="6">
        <f>P12+P16+P22</f>
      </c>
      <c r="Q24" s="6">
        <f>Q12+Q16+Q22</f>
      </c>
      <c r="R24" s="6">
        <f>R12+R16+R22</f>
      </c>
      <c r="S24" s="6">
        <f>S12+S16+S22</f>
      </c>
      <c r="T24" s="6">
        <f>T12+T16+T22</f>
      </c>
      <c r="U24" s="6">
        <f>U12+U16+U22</f>
      </c>
      <c r="V24" s="6">
        <f>V12+V16+V22</f>
      </c>
      <c r="W24" s="6">
        <f>W12+W16+W22</f>
      </c>
      <c r="X24" s="6">
        <f>X12+X16+X22</f>
      </c>
      <c r="Y24" s="6">
        <f>Y12+Y16+Y22</f>
      </c>
      <c r="Z24" s="6">
        <f>Z12+Z16+Z22</f>
      </c>
      <c r="AA24" s="6">
        <f>AA12+AA16+AA22</f>
      </c>
      <c r="AB24" s="6">
        <f>AB12+AB16+AB22</f>
      </c>
      <c r="AC24" s="6">
        <f>AC12+AC16+AC22</f>
      </c>
      <c r="AD24" s="6">
        <f>AD12+AD16+AD22</f>
      </c>
      <c r="AE24" s="6">
        <f>AE12+AE16+AE22</f>
      </c>
      <c r="AF24" s="6">
        <f>AF12+AF16+AF22</f>
      </c>
      <c r="AG24" s="6">
        <f>AG12+AG16+AG22</f>
      </c>
      <c r="AH24" s="6">
        <f>AH12+AH16+AH22</f>
      </c>
      <c r="AI24" s="6">
        <f>AI12+AI16+AI22</f>
      </c>
      <c r="AJ24" s="6">
        <f>AJ12+AJ16+AJ22</f>
      </c>
      <c r="AK24" s="6">
        <f>AK12+AK16+AK22</f>
      </c>
    </row>
    <row r="25">
      <c r="A25" s="10" t="s">
        <v>194</v>
      </c>
      <c r="B25" s="8">
        <v>46251.35</v>
      </c>
      <c r="C25" s="8">
        <v>67952.45</v>
      </c>
      <c r="D25" s="8">
        <v>69708.68</v>
      </c>
      <c r="E25" s="8">
        <v>46454.72</v>
      </c>
      <c r="F25" s="8">
        <v>114988.74</v>
      </c>
      <c r="G25" s="8">
        <v>108534.56</v>
      </c>
      <c r="H25" s="8">
        <v>80323.38</v>
      </c>
      <c r="I25" s="8">
        <v>67119.26</v>
      </c>
      <c r="J25" s="8">
        <v>73096.59</v>
      </c>
      <c r="K25" s="8">
        <v>32267.26</v>
      </c>
      <c r="L25" s="8">
        <v>59407.53</v>
      </c>
      <c r="M25" s="8">
        <v>70156.98</v>
      </c>
      <c r="N25" s="8">
        <v>77434.19</v>
      </c>
      <c r="O25" s="8">
        <v>129835.85622898558</v>
      </c>
      <c r="P25" s="8">
        <v>130382.05041414622</v>
      </c>
      <c r="Q25" s="8">
        <v>157085.32359930684</v>
      </c>
      <c r="R25" s="8">
        <v>185805.32756446747</v>
      </c>
      <c r="S25" s="8">
        <v>226762.76550962808</v>
      </c>
      <c r="T25" s="8">
        <v>299935.38749478868</v>
      </c>
      <c r="U25" s="8">
        <v>361144.54304661596</v>
      </c>
      <c r="V25" s="8">
        <v>353969.75869844324</v>
      </c>
      <c r="W25" s="8">
        <v>337100.43355027051</v>
      </c>
      <c r="X25" s="8">
        <v>390069.74320209777</v>
      </c>
      <c r="Y25" s="8">
        <v>412032.8902139251</v>
      </c>
      <c r="Z25" s="8">
        <v>287398.33608575229</v>
      </c>
      <c r="AA25" s="8">
        <v>329371.41366201435</v>
      </c>
      <c r="AB25" s="8">
        <v>365489.40680627653</v>
      </c>
      <c r="AC25" s="8">
        <v>389809.08846553857</v>
      </c>
      <c r="AD25" s="8">
        <v>417859.7294694006</v>
      </c>
      <c r="AE25" s="8">
        <v>457082.96568186273</v>
      </c>
      <c r="AF25" s="8">
        <v>449041.33674712479</v>
      </c>
      <c r="AG25" s="8">
        <v>407128.98854538682</v>
      </c>
      <c r="AH25" s="8">
        <v>389808.87492064893</v>
      </c>
      <c r="AI25" s="8">
        <v>369535.26540991105</v>
      </c>
      <c r="AJ25" s="8">
        <v>417116.05734517315</v>
      </c>
      <c r="AK25" s="8">
        <v>431435.92782563518</v>
      </c>
    </row>
    <row r="26">
      <c r="A26" s="10" t="s">
        <v>195</v>
      </c>
      <c r="B26" s="8">
        <v>67952.45</v>
      </c>
      <c r="C26" s="8">
        <v>69708.68</v>
      </c>
      <c r="D26" s="8">
        <v>46454.72</v>
      </c>
      <c r="E26" s="8">
        <v>114988.74</v>
      </c>
      <c r="F26" s="8">
        <v>108534.56</v>
      </c>
      <c r="G26" s="8">
        <v>80323.38</v>
      </c>
      <c r="H26" s="8">
        <v>67119.26</v>
      </c>
      <c r="I26" s="8">
        <v>73096.59</v>
      </c>
      <c r="J26" s="8">
        <v>32267.26</v>
      </c>
      <c r="K26" s="8">
        <v>59407.53</v>
      </c>
      <c r="L26" s="8">
        <v>70156.98</v>
      </c>
      <c r="M26" s="8">
        <v>77434.19</v>
      </c>
      <c r="N26" s="8">
        <v>129835.85622898558</v>
      </c>
      <c r="O26" s="8">
        <v>130382.05041414622</v>
      </c>
      <c r="P26" s="8">
        <v>157085.32359930684</v>
      </c>
      <c r="Q26" s="8">
        <v>185805.32756446747</v>
      </c>
      <c r="R26" s="8">
        <v>226762.76550962808</v>
      </c>
      <c r="S26" s="8">
        <v>299935.38749478868</v>
      </c>
      <c r="T26" s="8">
        <v>361144.54304661596</v>
      </c>
      <c r="U26" s="8">
        <v>353969.75869844324</v>
      </c>
      <c r="V26" s="8">
        <v>337100.43355027051</v>
      </c>
      <c r="W26" s="8">
        <v>390069.74320209777</v>
      </c>
      <c r="X26" s="8">
        <v>412032.8902139251</v>
      </c>
      <c r="Y26" s="8">
        <v>287398.33608575229</v>
      </c>
      <c r="Z26" s="8">
        <v>329371.41366201435</v>
      </c>
      <c r="AA26" s="8">
        <v>365489.40680627653</v>
      </c>
      <c r="AB26" s="8">
        <v>389809.08846553857</v>
      </c>
      <c r="AC26" s="8">
        <v>417859.7294694006</v>
      </c>
      <c r="AD26" s="8">
        <v>457082.96568186273</v>
      </c>
      <c r="AE26" s="8">
        <v>449041.33674712479</v>
      </c>
      <c r="AF26" s="8">
        <v>407128.98854538682</v>
      </c>
      <c r="AG26" s="8">
        <v>389808.87492064893</v>
      </c>
      <c r="AH26" s="8">
        <v>369535.26540991105</v>
      </c>
      <c r="AI26" s="8">
        <v>417116.05734517315</v>
      </c>
      <c r="AJ26" s="8">
        <v>431435.92782563518</v>
      </c>
      <c r="AK26" s="8">
        <v>376168.79732629721</v>
      </c>
    </row>
  </sheetData>
  <headerFooter/>
</worksheet>
</file>